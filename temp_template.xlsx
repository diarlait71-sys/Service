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484B1FC3-DB7B-4BC1-BBBC-96C9280500B3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РОС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L10" i="2" s="1"/>
  <c r="K28" i="2" s="1"/>
  <c r="E9" i="2"/>
  <c r="K11" i="2"/>
  <c r="K12" i="2"/>
  <c r="K13" i="2"/>
  <c r="L14" i="2"/>
  <c r="L15" i="2"/>
  <c r="L16" i="2"/>
  <c r="L17" i="2"/>
  <c r="L18" i="2"/>
  <c r="L11" i="2" l="1"/>
  <c r="L13" i="2"/>
  <c r="L12" i="2"/>
  <c r="L24" i="2" s="1"/>
  <c r="L28" i="2" s="1"/>
</calcChain>
</file>

<file path=xl/sharedStrings.xml><?xml version="1.0" encoding="utf-8"?>
<sst xmlns="http://schemas.openxmlformats.org/spreadsheetml/2006/main" count="69" uniqueCount="61">
  <si>
    <t xml:space="preserve"> </t>
  </si>
  <si>
    <t>Финансовый директор____________________________</t>
  </si>
  <si>
    <t xml:space="preserve">Директор департамента продаж_________________________ </t>
  </si>
  <si>
    <t>Оклад</t>
  </si>
  <si>
    <t>Бонус К начислению</t>
  </si>
  <si>
    <t>KPI + Пр1 + Пр2 + Качество</t>
  </si>
  <si>
    <t>Итого</t>
  </si>
  <si>
    <r>
      <t xml:space="preserve">За неисполнение должностных инструкций </t>
    </r>
    <r>
      <rPr>
        <b/>
        <sz val="16"/>
        <color rgb="FFFF0000"/>
        <rFont val="Calibri"/>
        <family val="2"/>
        <charset val="204"/>
        <scheme val="minor"/>
      </rPr>
      <t>полное лишение Бонусов</t>
    </r>
  </si>
  <si>
    <t>Введение документо оборота 50 000 тг</t>
  </si>
  <si>
    <t>Штраф</t>
  </si>
  <si>
    <t>ПрТП &gt; 85%</t>
  </si>
  <si>
    <t>При оценке &lt;= XX,X%  бонусы депремируются</t>
  </si>
  <si>
    <t xml:space="preserve">Составляющая от качества обслуживания Тайного покупателя                                                                                                </t>
  </si>
  <si>
    <t>Качество</t>
  </si>
  <si>
    <t>Да</t>
  </si>
  <si>
    <r>
      <t>Своевременная подача Гарантийного требования (</t>
    </r>
    <r>
      <rPr>
        <b/>
        <u/>
        <sz val="16"/>
        <color rgb="FFFF0000"/>
        <rFont val="Calibri"/>
        <family val="2"/>
        <charset val="204"/>
        <scheme val="minor"/>
      </rPr>
      <t>не позднее 7 календарных дней с даты завершения работ</t>
    </r>
    <r>
      <rPr>
        <b/>
        <sz val="16"/>
        <color indexed="30"/>
        <rFont val="Calibri"/>
        <family val="2"/>
        <charset val="204"/>
        <scheme val="minor"/>
      </rPr>
      <t>)</t>
    </r>
  </si>
  <si>
    <t>Контроль за подачей гарантийного требования</t>
  </si>
  <si>
    <t>Гарантия</t>
  </si>
  <si>
    <r>
      <t>Категория N не более 1 мес с момента поступление под клиента (</t>
    </r>
    <r>
      <rPr>
        <b/>
        <u/>
        <sz val="16"/>
        <color rgb="FFFF0000"/>
        <rFont val="Calibri"/>
        <family val="2"/>
        <charset val="204"/>
        <scheme val="minor"/>
      </rPr>
      <t>гарантия , оплачиваемый заказ</t>
    </r>
    <r>
      <rPr>
        <b/>
        <sz val="16"/>
        <color indexed="30"/>
        <rFont val="Calibri"/>
        <family val="2"/>
        <charset val="204"/>
        <scheme val="minor"/>
      </rPr>
      <t>)</t>
    </r>
  </si>
  <si>
    <t>Реализация новых запасых частей</t>
  </si>
  <si>
    <t>Категория N</t>
  </si>
  <si>
    <t>ПрВП=Факт/План</t>
  </si>
  <si>
    <t>Расчетный коэффициент вычисляется соотношением ФАКТ/ПЛАН. При соблюдении уровня неликвида на складе аксессуаров:
&gt;7% бонусы депремируются (-5% от Репера)</t>
  </si>
  <si>
    <t>Соблюдение уровня неликвида на складе аксессуаров</t>
  </si>
  <si>
    <t>Пр2</t>
  </si>
  <si>
    <r>
      <t xml:space="preserve">Расчетный коэффициент вычисляется соотношением ФАКТ/ПЛАН. При соблюдении уровня неликвида на складе запасных частей:
</t>
    </r>
    <r>
      <rPr>
        <b/>
        <sz val="16"/>
        <color rgb="FF0066CC"/>
        <rFont val="Calibri"/>
        <family val="2"/>
        <charset val="204"/>
        <scheme val="minor"/>
      </rPr>
      <t>Категория E</t>
    </r>
    <r>
      <rPr>
        <b/>
        <sz val="16"/>
        <color indexed="30"/>
        <rFont val="Calibri"/>
        <family val="2"/>
        <charset val="204"/>
        <scheme val="minor"/>
      </rPr>
      <t xml:space="preserve"> &gt;7% бонусы депремируются (-10% от Репера)
Категория N не более 1 мес с момента поступление под клиента (гарантия , оплачиваемый заказ)</t>
    </r>
  </si>
  <si>
    <t xml:space="preserve">Соблюдение уровня неликвида на складе запасных частей </t>
  </si>
  <si>
    <t>Пр1</t>
  </si>
  <si>
    <t>Факт</t>
  </si>
  <si>
    <t>Соблюдение общей маржанальности на товары и аксессуары не менее 30%</t>
  </si>
  <si>
    <t xml:space="preserve">Выполнение  маржанальности  </t>
  </si>
  <si>
    <t>Наценка</t>
  </si>
  <si>
    <t>ПрTi=Факт/План</t>
  </si>
  <si>
    <t>Расчетный коэффициент вычисляется соотношением ФАКТ/ПЛАН</t>
  </si>
  <si>
    <t>Выполнение плана продаж по Запасным Частям</t>
  </si>
  <si>
    <t>Запчасти</t>
  </si>
  <si>
    <t>ПрА/М=Факт/План</t>
  </si>
  <si>
    <t>Выполнение плана продаж по продажи услуг</t>
  </si>
  <si>
    <t>Сервис</t>
  </si>
  <si>
    <t>KPI</t>
  </si>
  <si>
    <t>-</t>
  </si>
  <si>
    <t>Б</t>
  </si>
  <si>
    <t>Фиксированный показатель (постоянная часть)</t>
  </si>
  <si>
    <t>Оклад (База)</t>
  </si>
  <si>
    <t>Выполнение</t>
  </si>
  <si>
    <t>План</t>
  </si>
  <si>
    <t>Коэф. расчета з/п</t>
  </si>
  <si>
    <t>Рассчитанный показатель</t>
  </si>
  <si>
    <t>Формула расчета показателя</t>
  </si>
  <si>
    <t>Вес показателя</t>
  </si>
  <si>
    <t>Наименование показателя</t>
  </si>
  <si>
    <t>МЗП</t>
  </si>
  <si>
    <t>Данные вносятся только в выделеные ячейки</t>
  </si>
  <si>
    <t>Репер</t>
  </si>
  <si>
    <t>ФИО:</t>
  </si>
  <si>
    <r>
      <t xml:space="preserve">Расчетный файл бонусов </t>
    </r>
    <r>
      <rPr>
        <b/>
        <u/>
        <sz val="20"/>
        <rFont val="Calibri"/>
        <family val="2"/>
        <charset val="204"/>
        <scheme val="minor"/>
      </rPr>
      <t>Руководителя отдела Сервиса</t>
    </r>
  </si>
  <si>
    <t>_______________</t>
  </si>
  <si>
    <t>Директор ТОО</t>
  </si>
  <si>
    <t xml:space="preserve">Утверждаю "___" _________ 2026 г.          </t>
  </si>
  <si>
    <t>Описание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</si>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</sst>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р_._-;\-* #,##0_р_._-;_-* &quot;-&quot;??_р_._-;_-@_-"/>
    <numFmt numFmtId="165" formatCode="#,##0_ ;[Red]\-#,##0\ "/>
    <numFmt numFmtId="166" formatCode="#,##0.00_ ;[Red]\-#,##0.00\ "/>
    <numFmt numFmtId="167" formatCode="_-* #,##0.00_р_._-;\-* #,##0.00_р_._-;_-* &quot;-&quot;??_р_._-;_-@_-"/>
    <numFmt numFmtId="168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indexed="63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indexed="63"/>
      <name val="Calibri"/>
      <family val="2"/>
      <charset val="204"/>
      <scheme val="minor"/>
    </font>
    <font>
      <b/>
      <i/>
      <sz val="14"/>
      <color indexed="63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4"/>
      <color theme="0"/>
      <name val="Calibri"/>
      <family val="2"/>
      <charset val="204"/>
      <scheme val="minor"/>
    </font>
    <font>
      <b/>
      <sz val="16"/>
      <color indexed="63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i/>
      <sz val="16"/>
      <color indexed="63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color indexed="63"/>
      <name val="Calibri"/>
      <family val="2"/>
      <charset val="204"/>
      <scheme val="minor"/>
    </font>
    <font>
      <sz val="16"/>
      <color indexed="63"/>
      <name val="Calibri"/>
      <family val="2"/>
      <charset val="204"/>
      <scheme val="minor"/>
    </font>
    <font>
      <b/>
      <sz val="16"/>
      <color indexed="3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color rgb="FF0066CC"/>
      <name val="Calibri"/>
      <family val="2"/>
      <charset val="204"/>
      <scheme val="minor"/>
    </font>
    <font>
      <b/>
      <sz val="12"/>
      <color indexed="63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u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u/>
      <sz val="2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  <xf numFmtId="0" fontId="1" fillId="0" borderId="0"/>
    <xf numFmtId="16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27" fillId="0" borderId="0"/>
  </cellStyleXfs>
  <cellXfs count="1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 applyProtection="1">
      <alignment vertical="center"/>
      <protection locked="0"/>
    </xf>
    <xf numFmtId="0" fontId="6" fillId="0" borderId="0" xfId="0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0" applyFont="1"/>
    <xf numFmtId="164" fontId="9" fillId="2" borderId="1" xfId="1" applyNumberFormat="1" applyFont="1" applyFill="1" applyBorder="1" applyAlignment="1" applyProtection="1">
      <alignment vertical="center" wrapText="1"/>
    </xf>
    <xf numFmtId="165" fontId="10" fillId="3" borderId="2" xfId="0" applyNumberFormat="1" applyFont="1" applyFill="1" applyBorder="1" applyAlignment="1" applyProtection="1">
      <alignment vertical="center"/>
      <protection locked="0"/>
    </xf>
    <xf numFmtId="43" fontId="8" fillId="3" borderId="3" xfId="1" applyFont="1" applyFill="1" applyBorder="1" applyAlignment="1" applyProtection="1">
      <alignment vertical="center" wrapText="1"/>
    </xf>
    <xf numFmtId="165" fontId="12" fillId="4" borderId="4" xfId="4" applyNumberFormat="1" applyFont="1" applyFill="1" applyBorder="1" applyAlignment="1">
      <alignment horizontal="center" vertical="center" wrapText="1"/>
    </xf>
    <xf numFmtId="165" fontId="8" fillId="0" borderId="0" xfId="4" applyNumberFormat="1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6" fontId="9" fillId="0" borderId="0" xfId="5" applyNumberFormat="1" applyFont="1" applyAlignment="1">
      <alignment vertical="center" wrapText="1"/>
    </xf>
    <xf numFmtId="0" fontId="9" fillId="0" borderId="0" xfId="6" applyFont="1" applyAlignment="1">
      <alignment horizontal="center" vertical="center"/>
    </xf>
    <xf numFmtId="165" fontId="13" fillId="5" borderId="4" xfId="0" applyNumberFormat="1" applyFont="1" applyFill="1" applyBorder="1" applyAlignment="1">
      <alignment horizontal="center" vertical="center"/>
    </xf>
    <xf numFmtId="166" fontId="13" fillId="5" borderId="6" xfId="0" applyNumberFormat="1" applyFont="1" applyFill="1" applyBorder="1" applyAlignment="1">
      <alignment vertical="center"/>
    </xf>
    <xf numFmtId="166" fontId="13" fillId="5" borderId="7" xfId="0" applyNumberFormat="1" applyFont="1" applyFill="1" applyBorder="1" applyAlignment="1">
      <alignment vertical="center"/>
    </xf>
    <xf numFmtId="166" fontId="13" fillId="5" borderId="8" xfId="0" applyNumberFormat="1" applyFont="1" applyFill="1" applyBorder="1" applyAlignment="1">
      <alignment vertical="center"/>
    </xf>
    <xf numFmtId="166" fontId="13" fillId="5" borderId="6" xfId="5" applyNumberFormat="1" applyFont="1" applyFill="1" applyBorder="1" applyAlignment="1">
      <alignment vertical="center" wrapText="1"/>
    </xf>
    <xf numFmtId="166" fontId="13" fillId="5" borderId="7" xfId="5" applyNumberFormat="1" applyFont="1" applyFill="1" applyBorder="1" applyAlignment="1">
      <alignment vertical="center" wrapText="1"/>
    </xf>
    <xf numFmtId="166" fontId="13" fillId="5" borderId="8" xfId="5" applyNumberFormat="1" applyFont="1" applyFill="1" applyBorder="1" applyAlignment="1">
      <alignment vertical="center" wrapText="1"/>
    </xf>
    <xf numFmtId="165" fontId="0" fillId="0" borderId="0" xfId="0" applyNumberFormat="1"/>
    <xf numFmtId="166" fontId="13" fillId="5" borderId="9" xfId="5" applyNumberFormat="1" applyFont="1" applyFill="1" applyBorder="1" applyAlignment="1">
      <alignment vertical="center" wrapText="1"/>
    </xf>
    <xf numFmtId="166" fontId="13" fillId="5" borderId="10" xfId="5" applyNumberFormat="1" applyFont="1" applyFill="1" applyBorder="1" applyAlignment="1">
      <alignment vertical="center" wrapText="1"/>
    </xf>
    <xf numFmtId="166" fontId="13" fillId="5" borderId="3" xfId="5" applyNumberFormat="1" applyFont="1" applyFill="1" applyBorder="1" applyAlignment="1">
      <alignment vertical="center" wrapText="1"/>
    </xf>
    <xf numFmtId="166" fontId="13" fillId="5" borderId="11" xfId="5" applyNumberFormat="1" applyFont="1" applyFill="1" applyBorder="1" applyAlignment="1">
      <alignment vertical="center" wrapText="1"/>
    </xf>
    <xf numFmtId="166" fontId="13" fillId="5" borderId="0" xfId="5" applyNumberFormat="1" applyFont="1" applyFill="1" applyAlignment="1">
      <alignment vertical="center" wrapText="1"/>
    </xf>
    <xf numFmtId="166" fontId="13" fillId="5" borderId="12" xfId="5" applyNumberFormat="1" applyFont="1" applyFill="1" applyBorder="1" applyAlignment="1">
      <alignment vertical="center" wrapText="1"/>
    </xf>
    <xf numFmtId="166" fontId="13" fillId="5" borderId="13" xfId="5" applyNumberFormat="1" applyFont="1" applyFill="1" applyBorder="1" applyAlignment="1">
      <alignment vertical="center" wrapText="1"/>
    </xf>
    <xf numFmtId="166" fontId="13" fillId="5" borderId="2" xfId="5" applyNumberFormat="1" applyFont="1" applyFill="1" applyBorder="1" applyAlignment="1">
      <alignment vertical="center" wrapText="1"/>
    </xf>
    <xf numFmtId="166" fontId="13" fillId="5" borderId="14" xfId="5" applyNumberFormat="1" applyFont="1" applyFill="1" applyBorder="1" applyAlignment="1">
      <alignment vertical="center" wrapText="1"/>
    </xf>
    <xf numFmtId="43" fontId="3" fillId="0" borderId="0" xfId="1" applyFont="1"/>
    <xf numFmtId="9" fontId="3" fillId="0" borderId="0" xfId="0" applyNumberFormat="1" applyFont="1"/>
    <xf numFmtId="165" fontId="15" fillId="0" borderId="15" xfId="0" applyNumberFormat="1" applyFont="1" applyBorder="1" applyAlignment="1">
      <alignment horizontal="center" vertical="center"/>
    </xf>
    <xf numFmtId="9" fontId="16" fillId="6" borderId="16" xfId="7" applyNumberFormat="1" applyFont="1" applyFill="1" applyBorder="1" applyAlignment="1" applyProtection="1">
      <alignment horizontal="center" vertical="center" wrapText="1"/>
      <protection locked="0"/>
    </xf>
    <xf numFmtId="9" fontId="17" fillId="6" borderId="16" xfId="2" applyFont="1" applyFill="1" applyBorder="1" applyAlignment="1" applyProtection="1">
      <alignment vertical="center" wrapText="1"/>
      <protection locked="0"/>
    </xf>
    <xf numFmtId="167" fontId="18" fillId="0" borderId="16" xfId="7" applyFont="1" applyFill="1" applyBorder="1" applyAlignment="1" applyProtection="1">
      <alignment horizontal="center" vertical="center" wrapText="1"/>
    </xf>
    <xf numFmtId="4" fontId="19" fillId="0" borderId="16" xfId="0" applyNumberFormat="1" applyFont="1" applyBorder="1" applyAlignment="1">
      <alignment vertical="center" wrapText="1"/>
    </xf>
    <xf numFmtId="9" fontId="20" fillId="0" borderId="16" xfId="8" applyFont="1" applyFill="1" applyBorder="1" applyAlignment="1" applyProtection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/>
    </xf>
    <xf numFmtId="165" fontId="13" fillId="0" borderId="18" xfId="7" applyNumberFormat="1" applyFont="1" applyFill="1" applyBorder="1" applyAlignment="1" applyProtection="1">
      <alignment horizontal="center" vertical="center" wrapText="1"/>
    </xf>
    <xf numFmtId="168" fontId="16" fillId="6" borderId="16" xfId="1" applyNumberFormat="1" applyFont="1" applyFill="1" applyBorder="1" applyAlignment="1" applyProtection="1">
      <alignment horizontal="center" vertical="center" wrapText="1"/>
      <protection locked="0"/>
    </xf>
    <xf numFmtId="4" fontId="19" fillId="0" borderId="19" xfId="0" applyNumberFormat="1" applyFont="1" applyBorder="1" applyAlignment="1">
      <alignment vertical="center" wrapText="1"/>
    </xf>
    <xf numFmtId="4" fontId="19" fillId="0" borderId="7" xfId="0" applyNumberFormat="1" applyFont="1" applyBorder="1" applyAlignment="1">
      <alignment vertical="center" wrapText="1"/>
    </xf>
    <xf numFmtId="4" fontId="19" fillId="0" borderId="20" xfId="0" applyNumberFormat="1" applyFont="1" applyBorder="1" applyAlignment="1">
      <alignment vertical="center" wrapText="1"/>
    </xf>
    <xf numFmtId="4" fontId="19" fillId="0" borderId="21" xfId="0" applyNumberFormat="1" applyFont="1" applyBorder="1" applyAlignment="1">
      <alignment vertical="center" wrapText="1"/>
    </xf>
    <xf numFmtId="4" fontId="19" fillId="0" borderId="22" xfId="0" applyNumberFormat="1" applyFont="1" applyBorder="1" applyAlignment="1">
      <alignment vertical="center" wrapText="1"/>
    </xf>
    <xf numFmtId="4" fontId="19" fillId="0" borderId="23" xfId="0" applyNumberFormat="1" applyFont="1" applyBorder="1" applyAlignment="1">
      <alignment vertical="center" wrapText="1"/>
    </xf>
    <xf numFmtId="9" fontId="20" fillId="6" borderId="24" xfId="2" applyFont="1" applyFill="1" applyBorder="1" applyAlignment="1" applyProtection="1">
      <alignment horizontal="center" vertical="center" wrapText="1"/>
    </xf>
    <xf numFmtId="166" fontId="22" fillId="0" borderId="24" xfId="5" applyNumberFormat="1" applyFont="1" applyBorder="1" applyAlignment="1">
      <alignment vertical="center" wrapText="1"/>
    </xf>
    <xf numFmtId="4" fontId="19" fillId="0" borderId="24" xfId="0" applyNumberFormat="1" applyFont="1" applyBorder="1" applyAlignment="1">
      <alignment vertical="center" wrapText="1"/>
    </xf>
    <xf numFmtId="166" fontId="23" fillId="0" borderId="25" xfId="9" applyNumberFormat="1" applyFont="1" applyBorder="1" applyAlignment="1">
      <alignment vertical="center" wrapText="1"/>
    </xf>
    <xf numFmtId="166" fontId="23" fillId="0" borderId="26" xfId="9" applyNumberFormat="1" applyFont="1" applyBorder="1" applyAlignment="1">
      <alignment vertical="center" wrapText="1"/>
    </xf>
    <xf numFmtId="166" fontId="23" fillId="0" borderId="27" xfId="9" applyNumberFormat="1" applyFont="1" applyBorder="1" applyAlignment="1">
      <alignment vertical="center" wrapText="1"/>
    </xf>
    <xf numFmtId="166" fontId="23" fillId="0" borderId="28" xfId="5" applyNumberFormat="1" applyFont="1" applyBorder="1" applyAlignment="1">
      <alignment horizontal="center" vertical="center" wrapText="1"/>
    </xf>
    <xf numFmtId="1" fontId="3" fillId="0" borderId="0" xfId="0" applyNumberFormat="1" applyFont="1"/>
    <xf numFmtId="168" fontId="3" fillId="0" borderId="0" xfId="0" applyNumberFormat="1" applyFont="1"/>
    <xf numFmtId="9" fontId="3" fillId="0" borderId="24" xfId="0" applyNumberFormat="1" applyFont="1" applyBorder="1" applyAlignment="1">
      <alignment horizontal="center" vertical="center"/>
    </xf>
    <xf numFmtId="9" fontId="3" fillId="0" borderId="24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" fontId="19" fillId="0" borderId="25" xfId="0" applyNumberFormat="1" applyFont="1" applyBorder="1" applyAlignment="1">
      <alignment vertical="center" wrapText="1"/>
    </xf>
    <xf numFmtId="4" fontId="19" fillId="0" borderId="27" xfId="0" applyNumberFormat="1" applyFont="1" applyBorder="1" applyAlignment="1">
      <alignment vertical="center" wrapText="1"/>
    </xf>
    <xf numFmtId="9" fontId="18" fillId="7" borderId="24" xfId="8" applyFont="1" applyFill="1" applyBorder="1" applyAlignment="1" applyProtection="1">
      <alignment horizontal="center" vertical="center" wrapText="1"/>
      <protection locked="0"/>
    </xf>
    <xf numFmtId="0" fontId="13" fillId="7" borderId="2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13" fillId="0" borderId="29" xfId="5" applyNumberFormat="1" applyFont="1" applyBorder="1" applyAlignment="1">
      <alignment vertical="center" wrapText="1"/>
    </xf>
    <xf numFmtId="9" fontId="18" fillId="8" borderId="24" xfId="7" applyNumberFormat="1" applyFont="1" applyFill="1" applyBorder="1" applyAlignment="1" applyProtection="1">
      <alignment horizontal="center" vertical="center" wrapText="1"/>
    </xf>
    <xf numFmtId="168" fontId="18" fillId="6" borderId="24" xfId="1" applyNumberFormat="1" applyFont="1" applyFill="1" applyBorder="1" applyAlignment="1" applyProtection="1">
      <alignment horizontal="center" vertical="center" wrapText="1"/>
      <protection locked="0"/>
    </xf>
    <xf numFmtId="167" fontId="17" fillId="7" borderId="24" xfId="7" applyFont="1" applyFill="1" applyBorder="1" applyAlignment="1" applyProtection="1">
      <alignment horizontal="center" vertical="center" wrapText="1"/>
    </xf>
    <xf numFmtId="165" fontId="18" fillId="7" borderId="24" xfId="5" applyNumberFormat="1" applyFont="1" applyFill="1" applyBorder="1" applyAlignment="1">
      <alignment horizontal="center" vertical="center" wrapText="1"/>
    </xf>
    <xf numFmtId="165" fontId="13" fillId="0" borderId="30" xfId="7" applyNumberFormat="1" applyFont="1" applyFill="1" applyBorder="1" applyAlignment="1" applyProtection="1">
      <alignment horizontal="center" vertical="center" wrapText="1"/>
    </xf>
    <xf numFmtId="9" fontId="18" fillId="8" borderId="31" xfId="7" applyNumberFormat="1" applyFont="1" applyFill="1" applyBorder="1" applyAlignment="1" applyProtection="1">
      <alignment horizontal="center" vertical="center" wrapText="1"/>
    </xf>
    <xf numFmtId="168" fontId="18" fillId="6" borderId="31" xfId="1" applyNumberFormat="1" applyFont="1" applyFill="1" applyBorder="1" applyAlignment="1" applyProtection="1">
      <alignment horizontal="center" vertical="center" wrapText="1"/>
      <protection locked="0"/>
    </xf>
    <xf numFmtId="167" fontId="17" fillId="0" borderId="31" xfId="7" applyFont="1" applyFill="1" applyBorder="1" applyAlignment="1" applyProtection="1">
      <alignment horizontal="center" vertical="center" wrapText="1"/>
    </xf>
    <xf numFmtId="4" fontId="19" fillId="0" borderId="31" xfId="0" applyNumberFormat="1" applyFont="1" applyBorder="1" applyAlignment="1">
      <alignment vertical="center" wrapText="1"/>
    </xf>
    <xf numFmtId="9" fontId="18" fillId="0" borderId="31" xfId="8" applyFont="1" applyFill="1" applyBorder="1" applyAlignment="1" applyProtection="1">
      <alignment horizontal="center" vertical="center" wrapText="1"/>
      <protection locked="0"/>
    </xf>
    <xf numFmtId="0" fontId="13" fillId="0" borderId="31" xfId="0" applyFont="1" applyBorder="1" applyAlignment="1">
      <alignment horizontal="center" vertical="center" wrapText="1"/>
    </xf>
    <xf numFmtId="165" fontId="18" fillId="0" borderId="31" xfId="5" applyNumberFormat="1" applyFont="1" applyBorder="1" applyAlignment="1">
      <alignment horizontal="center" vertical="center" wrapText="1"/>
    </xf>
    <xf numFmtId="166" fontId="13" fillId="0" borderId="32" xfId="5" applyNumberFormat="1" applyFont="1" applyBorder="1" applyAlignment="1">
      <alignment vertical="center" wrapText="1"/>
    </xf>
    <xf numFmtId="165" fontId="23" fillId="5" borderId="33" xfId="9" applyNumberFormat="1" applyFont="1" applyFill="1" applyBorder="1" applyAlignment="1" applyProtection="1">
      <alignment horizontal="center" vertical="top" wrapText="1"/>
      <protection locked="0"/>
    </xf>
    <xf numFmtId="10" fontId="13" fillId="5" borderId="33" xfId="7" applyNumberFormat="1" applyFont="1" applyFill="1" applyBorder="1" applyAlignment="1" applyProtection="1">
      <alignment horizontal="center" vertical="center" wrapText="1"/>
    </xf>
    <xf numFmtId="1" fontId="13" fillId="5" borderId="33" xfId="7" applyNumberFormat="1" applyFont="1" applyFill="1" applyBorder="1" applyAlignment="1" applyProtection="1">
      <alignment horizontal="center" vertical="center" wrapText="1"/>
    </xf>
    <xf numFmtId="167" fontId="17" fillId="5" borderId="33" xfId="7" applyFont="1" applyFill="1" applyBorder="1" applyAlignment="1" applyProtection="1">
      <alignment horizontal="center" vertical="center" wrapText="1"/>
    </xf>
    <xf numFmtId="4" fontId="23" fillId="5" borderId="33" xfId="0" applyNumberFormat="1" applyFont="1" applyFill="1" applyBorder="1" applyAlignment="1">
      <alignment vertical="center" wrapText="1"/>
    </xf>
    <xf numFmtId="9" fontId="18" fillId="5" borderId="33" xfId="8" applyFont="1" applyFill="1" applyBorder="1" applyAlignment="1" applyProtection="1">
      <alignment horizontal="center" vertical="center" wrapText="1"/>
      <protection locked="0"/>
    </xf>
    <xf numFmtId="0" fontId="13" fillId="5" borderId="33" xfId="0" applyFont="1" applyFill="1" applyBorder="1" applyAlignment="1">
      <alignment horizontal="center" vertical="center"/>
    </xf>
    <xf numFmtId="165" fontId="18" fillId="5" borderId="33" xfId="9" applyNumberFormat="1" applyFont="1" applyFill="1" applyBorder="1" applyAlignment="1">
      <alignment vertical="center" wrapText="1"/>
    </xf>
    <xf numFmtId="165" fontId="18" fillId="5" borderId="34" xfId="9" applyNumberFormat="1" applyFont="1" applyFill="1" applyBorder="1" applyAlignment="1">
      <alignment vertical="center" wrapText="1"/>
    </xf>
    <xf numFmtId="166" fontId="23" fillId="0" borderId="11" xfId="5" applyNumberFormat="1" applyFont="1" applyBorder="1" applyAlignment="1">
      <alignment horizontal="center" vertical="center" wrapText="1"/>
    </xf>
    <xf numFmtId="166" fontId="23" fillId="0" borderId="0" xfId="5" applyNumberFormat="1" applyFont="1" applyAlignment="1">
      <alignment horizontal="center" vertical="center" wrapText="1"/>
    </xf>
    <xf numFmtId="166" fontId="23" fillId="0" borderId="0" xfId="8" applyNumberFormat="1" applyFont="1" applyFill="1" applyBorder="1" applyAlignment="1" applyProtection="1">
      <alignment horizontal="center" vertical="center" wrapText="1"/>
    </xf>
    <xf numFmtId="9" fontId="20" fillId="0" borderId="0" xfId="2" applyFont="1" applyFill="1" applyBorder="1" applyAlignment="1" applyProtection="1">
      <alignment horizontal="center" vertical="center" wrapText="1"/>
    </xf>
    <xf numFmtId="166" fontId="23" fillId="0" borderId="12" xfId="5" applyNumberFormat="1" applyFont="1" applyBorder="1" applyAlignment="1">
      <alignment horizontal="center" vertical="center" wrapText="1"/>
    </xf>
    <xf numFmtId="166" fontId="23" fillId="5" borderId="8" xfId="5" applyNumberFormat="1" applyFont="1" applyFill="1" applyBorder="1" applyAlignment="1">
      <alignment horizontal="center" vertical="center" wrapText="1"/>
    </xf>
    <xf numFmtId="166" fontId="23" fillId="5" borderId="4" xfId="5" applyNumberFormat="1" applyFont="1" applyFill="1" applyBorder="1" applyAlignment="1">
      <alignment horizontal="center" vertical="center" wrapText="1"/>
    </xf>
    <xf numFmtId="166" fontId="23" fillId="5" borderId="10" xfId="8" applyNumberFormat="1" applyFont="1" applyFill="1" applyBorder="1" applyAlignment="1" applyProtection="1">
      <alignment horizontal="center" vertical="center" wrapText="1"/>
    </xf>
    <xf numFmtId="166" fontId="23" fillId="5" borderId="15" xfId="5" applyNumberFormat="1" applyFont="1" applyFill="1" applyBorder="1" applyAlignment="1">
      <alignment vertical="center" wrapText="1"/>
    </xf>
    <xf numFmtId="166" fontId="23" fillId="5" borderId="35" xfId="5" applyNumberFormat="1" applyFont="1" applyFill="1" applyBorder="1" applyAlignment="1">
      <alignment vertical="center" wrapText="1"/>
    </xf>
    <xf numFmtId="166" fontId="23" fillId="5" borderId="32" xfId="5" applyNumberFormat="1" applyFont="1" applyFill="1" applyBorder="1" applyAlignment="1">
      <alignment vertical="center" wrapText="1"/>
    </xf>
    <xf numFmtId="165" fontId="25" fillId="3" borderId="0" xfId="0" applyNumberFormat="1" applyFont="1" applyFill="1" applyAlignment="1">
      <alignment vertical="center"/>
    </xf>
    <xf numFmtId="166" fontId="25" fillId="3" borderId="0" xfId="0" applyNumberFormat="1" applyFont="1" applyFill="1" applyAlignment="1">
      <alignment vertical="center"/>
    </xf>
    <xf numFmtId="166" fontId="5" fillId="0" borderId="0" xfId="0" applyNumberFormat="1" applyFont="1" applyAlignment="1">
      <alignment vertical="center"/>
    </xf>
    <xf numFmtId="0" fontId="26" fillId="0" borderId="0" xfId="0" applyFont="1"/>
    <xf numFmtId="0" fontId="28" fillId="6" borderId="0" xfId="10" applyFont="1" applyFill="1" applyAlignment="1">
      <alignment vertical="center"/>
    </xf>
    <xf numFmtId="0" fontId="7" fillId="0" borderId="0" xfId="3" applyFont="1"/>
    <xf numFmtId="168" fontId="29" fillId="0" borderId="24" xfId="1" applyNumberFormat="1" applyFont="1" applyBorder="1" applyAlignment="1">
      <alignment horizontal="center" vertical="center"/>
    </xf>
    <xf numFmtId="0" fontId="29" fillId="0" borderId="24" xfId="3" applyFont="1" applyBorder="1" applyAlignment="1" applyProtection="1">
      <alignment horizontal="center" vertical="center"/>
      <protection locked="0"/>
    </xf>
    <xf numFmtId="0" fontId="20" fillId="9" borderId="0" xfId="3" applyFont="1" applyFill="1" applyProtection="1">
      <protection locked="0"/>
    </xf>
    <xf numFmtId="0" fontId="23" fillId="9" borderId="0" xfId="3" applyFont="1" applyFill="1" applyAlignment="1" applyProtection="1">
      <alignment horizontal="center"/>
      <protection locked="0"/>
    </xf>
    <xf numFmtId="0" fontId="30" fillId="0" borderId="0" xfId="3" applyFont="1" applyAlignment="1">
      <alignment horizontal="center" vertical="center"/>
    </xf>
    <xf numFmtId="0" fontId="31" fillId="0" borderId="0" xfId="3" applyFont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1">
    <cellStyle name="Обычный" xfId="0" builtinId="0"/>
    <cellStyle name="Обычный 2" xfId="5" xr:uid="{94EC1801-67A7-400D-A3C1-379979DFADDD}"/>
    <cellStyle name="Обычный 2 2" xfId="9" xr:uid="{E6EA8B81-B222-48E0-BDFB-A277AC3E536B}"/>
    <cellStyle name="Обычный 2_УФЗ, проект Toyota_1" xfId="4" xr:uid="{1AD565CE-193D-4F24-8F7B-083733899B3D}"/>
    <cellStyle name="Обычный 3 2" xfId="3" xr:uid="{F312FBE4-9995-45F5-B64D-C08452E6F68C}"/>
    <cellStyle name="Обычный 3 3 2" xfId="6" xr:uid="{7452CB41-6ECB-40A2-A8F8-C300F579ADE7}"/>
    <cellStyle name="Обычный 8 2" xfId="10" xr:uid="{B902DCF5-865A-4521-BAA2-2C99F79E76A1}"/>
    <cellStyle name="Процентный" xfId="2" builtinId="5"/>
    <cellStyle name="Процентный 2" xfId="8" xr:uid="{06C9815C-3D59-4AD8-8933-41385EFD6104}"/>
    <cellStyle name="Финансовый" xfId="1" builtinId="3"/>
    <cellStyle name="Финансовый 2 2" xfId="7" xr:uid="{D2A8538C-4390-4CAD-A68B-183ABB6FFE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.Muldabaev/Downloads/&#1087;&#1088;&#1080;&#1083;&#1086;&#1078;&#1077;&#1085;&#1080;&#1077;%201%20-%20DCG%20Er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Р"/>
      <sheetName val="Руководство"/>
      <sheetName val="Матрица - Репер РОСа"/>
      <sheetName val="Сервис-консультант"/>
      <sheetName val="Рук приемки"/>
      <sheetName val="РОЗЧ"/>
      <sheetName val="ДОП"/>
      <sheetName val="МОЗЧ"/>
      <sheetName val="Мастер цеха"/>
      <sheetName val="Кладовщик"/>
      <sheetName val="Оператор Сервиса"/>
      <sheetName val="Инженер по Гарантии"/>
      <sheetName val="Механик"/>
      <sheetName val="Механики"/>
    </sheetNames>
    <sheetDataSet>
      <sheetData sheetId="0"/>
      <sheetData sheetId="1"/>
      <sheetData sheetId="2">
        <row r="10">
          <cell r="F10">
            <v>1071706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CF53-08F1-4E47-8BD2-26133B72E11D}">
  <dimension ref="A1:N33"/>
  <sheetViews>
    <sheetView tabSelected="1" zoomScale="55" zoomScaleNormal="55" workbookViewId="0">
      <selection activeCell="E8" sqref="E8"/>
    </sheetView>
  </sheetViews>
  <sheetFormatPr defaultColWidth="25.53125" defaultRowHeight="21" x14ac:dyDescent="0.65"/>
  <cols>
    <col min="1" max="1" width="2.46484375" style="1" customWidth="1"/>
    <col min="2" max="2" width="32" style="1" customWidth="1"/>
    <col min="3" max="3" width="26.33203125" style="1" customWidth="1"/>
    <col min="4" max="4" width="33.53125" style="1" customWidth="1"/>
    <col min="5" max="5" width="17.86328125" style="1" customWidth="1"/>
    <col min="6" max="6" width="38.1328125" style="1" customWidth="1"/>
    <col min="7" max="7" width="43.46484375" style="1" customWidth="1"/>
    <col min="8" max="8" width="15.6640625" style="1" customWidth="1"/>
    <col min="9" max="10" width="17.46484375" style="1" bestFit="1" customWidth="1"/>
    <col min="11" max="11" width="24.33203125" style="1" bestFit="1" customWidth="1"/>
    <col min="12" max="12" width="27.46484375" style="1" customWidth="1"/>
    <col min="13" max="13" width="16.6640625" style="1" bestFit="1" customWidth="1"/>
    <col min="14" max="14" width="28.33203125" style="1" customWidth="1"/>
    <col min="15" max="16384" width="25.53125" style="1"/>
  </cols>
  <sheetData>
    <row r="1" spans="2:14" x14ac:dyDescent="0.65">
      <c r="B1" s="116"/>
      <c r="C1" s="116"/>
      <c r="D1" s="6"/>
      <c r="E1" s="4"/>
      <c r="F1" s="4"/>
      <c r="G1" s="4"/>
      <c r="H1" s="4"/>
      <c r="I1" s="4"/>
      <c r="J1" s="4"/>
      <c r="K1" s="4" t="s">
        <v>58</v>
      </c>
      <c r="L1" s="115"/>
    </row>
    <row r="2" spans="2:14" x14ac:dyDescent="0.65">
      <c r="B2" s="116"/>
      <c r="C2" s="116"/>
      <c r="D2" s="6"/>
      <c r="E2" s="4"/>
      <c r="F2" s="4"/>
      <c r="G2" s="4"/>
      <c r="H2" s="4"/>
      <c r="I2" s="4"/>
      <c r="J2" s="4"/>
      <c r="K2" s="4" t="s">
        <v>57</v>
      </c>
      <c r="L2" s="116"/>
    </row>
    <row r="3" spans="2:14" x14ac:dyDescent="0.65">
      <c r="B3" s="116"/>
      <c r="C3" s="116"/>
      <c r="D3" s="6"/>
      <c r="E3" s="4"/>
      <c r="F3" s="4"/>
      <c r="G3" s="4"/>
      <c r="H3" s="4"/>
      <c r="I3" s="4"/>
      <c r="J3" s="4"/>
      <c r="K3" s="4" t="s">
        <v>56</v>
      </c>
      <c r="L3" s="115"/>
    </row>
    <row r="4" spans="2:14" s="106" customFormat="1" ht="25.5" x14ac:dyDescent="0.7">
      <c r="B4" s="114" t="s">
        <v>55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2:14" s="106" customFormat="1" ht="23.25" x14ac:dyDescent="0.7"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</row>
    <row r="6" spans="2:14" s="106" customFormat="1" ht="23.25" x14ac:dyDescent="0.7">
      <c r="B6" s="4"/>
      <c r="C6" s="112" t="s">
        <v>54</v>
      </c>
      <c r="D6" s="111"/>
      <c r="E6" s="111"/>
      <c r="F6" s="110" t="s">
        <v>53</v>
      </c>
      <c r="G6" s="109">
        <f>'[1]Матрица - Репер РОСа'!F10</f>
        <v>1071706</v>
      </c>
      <c r="H6" s="108"/>
      <c r="I6" s="108"/>
      <c r="J6" s="107" t="s">
        <v>52</v>
      </c>
      <c r="K6" s="107"/>
      <c r="L6" s="107"/>
    </row>
    <row r="7" spans="2:14" ht="22.15" customHeight="1" thickBot="1" x14ac:dyDescent="0.7">
      <c r="B7" s="6"/>
      <c r="C7" s="6"/>
      <c r="D7" s="6"/>
      <c r="E7" s="6"/>
      <c r="F7" s="105"/>
      <c r="G7" s="105"/>
      <c r="H7" s="105"/>
      <c r="I7" s="105"/>
      <c r="J7" s="105"/>
      <c r="K7" s="104" t="s">
        <v>51</v>
      </c>
      <c r="L7" s="103"/>
    </row>
    <row r="8" spans="2:14" ht="31.25" customHeight="1" thickBot="1" x14ac:dyDescent="0.7">
      <c r="B8" s="102" t="s">
        <v>50</v>
      </c>
      <c r="C8" s="102" t="s">
        <v>60</v>
      </c>
      <c r="D8" s="100" t="s">
        <v>59</v>
      </c>
      <c r="E8" s="101" t="s">
        <v>49</v>
      </c>
      <c r="F8" s="99" t="s">
        <v>47</v>
      </c>
      <c r="G8" s="98" t="s">
        <v>46</v>
      </c>
      <c r="H8" s="101" t="s">
        <v>48</v>
      </c>
      <c r="I8" s="98" t="s">
        <v>45</v>
      </c>
      <c r="J8" s="98" t="s">
        <v>28</v>
      </c>
      <c r="K8" s="97" t="s">
        <v>44</v>
      </c>
      <c r="L8" s="101" t="s">
        <v>48</v>
      </c>
    </row>
    <row r="9" spans="2:14" x14ac:dyDescent="0.65">
      <c r="B9" s="96"/>
      <c r="C9" s="93"/>
      <c r="D9" s="93"/>
      <c r="E9" s="95">
        <f>E10+E11+E12+E13</f>
        <v>1</v>
      </c>
      <c r="F9" s="94"/>
      <c r="G9" s="93"/>
      <c r="H9" s="93"/>
      <c r="I9" s="93"/>
      <c r="J9" s="93"/>
      <c r="K9" s="93"/>
      <c r="L9" s="92"/>
    </row>
    <row r="10" spans="2:14" ht="21.4" customHeight="1" thickBot="1" x14ac:dyDescent="0.7">
      <c r="B10" s="91" t="s">
        <v>41</v>
      </c>
      <c r="C10" s="90"/>
      <c r="D10" s="89" t="s">
        <v>43</v>
      </c>
      <c r="E10" s="88">
        <v>0.5</v>
      </c>
      <c r="F10" s="87" t="s">
        <v>42</v>
      </c>
      <c r="G10" s="87"/>
      <c r="H10" s="86" t="s">
        <v>41</v>
      </c>
      <c r="I10" s="85" t="s">
        <v>40</v>
      </c>
      <c r="J10" s="85" t="s">
        <v>40</v>
      </c>
      <c r="K10" s="84" t="s">
        <v>40</v>
      </c>
      <c r="L10" s="83">
        <f>G6*E10</f>
        <v>535853</v>
      </c>
    </row>
    <row r="11" spans="2:14" ht="63" x14ac:dyDescent="0.65">
      <c r="B11" s="82" t="s">
        <v>39</v>
      </c>
      <c r="C11" s="81" t="s">
        <v>38</v>
      </c>
      <c r="D11" s="80" t="s">
        <v>37</v>
      </c>
      <c r="E11" s="79">
        <v>0.23</v>
      </c>
      <c r="F11" s="78" t="s">
        <v>33</v>
      </c>
      <c r="G11" s="78"/>
      <c r="H11" s="77" t="s">
        <v>36</v>
      </c>
      <c r="I11" s="76">
        <v>1</v>
      </c>
      <c r="J11" s="76">
        <v>1</v>
      </c>
      <c r="K11" s="75">
        <f>J11/I11</f>
        <v>1</v>
      </c>
      <c r="L11" s="74">
        <f>G6*E11*K11</f>
        <v>246492.38</v>
      </c>
      <c r="N11" s="59"/>
    </row>
    <row r="12" spans="2:14" ht="63" x14ac:dyDescent="0.65">
      <c r="B12" s="69"/>
      <c r="C12" s="73" t="s">
        <v>35</v>
      </c>
      <c r="D12" s="67" t="s">
        <v>34</v>
      </c>
      <c r="E12" s="66">
        <v>0.23</v>
      </c>
      <c r="F12" s="54" t="s">
        <v>33</v>
      </c>
      <c r="G12" s="54"/>
      <c r="H12" s="72" t="s">
        <v>32</v>
      </c>
      <c r="I12" s="71">
        <v>1</v>
      </c>
      <c r="J12" s="71">
        <v>1</v>
      </c>
      <c r="K12" s="70">
        <f>J12/I12</f>
        <v>1</v>
      </c>
      <c r="L12" s="44">
        <f>G6*E12*K12</f>
        <v>246492.38</v>
      </c>
      <c r="N12" s="59"/>
    </row>
    <row r="13" spans="2:14" ht="42" customHeight="1" x14ac:dyDescent="0.65">
      <c r="B13" s="69"/>
      <c r="C13" s="68" t="s">
        <v>31</v>
      </c>
      <c r="D13" s="67" t="s">
        <v>30</v>
      </c>
      <c r="E13" s="66">
        <v>0.04</v>
      </c>
      <c r="F13" s="65" t="s">
        <v>29</v>
      </c>
      <c r="G13" s="64"/>
      <c r="H13" s="63" t="s">
        <v>28</v>
      </c>
      <c r="I13" s="62">
        <v>0.3</v>
      </c>
      <c r="J13" s="62">
        <v>5</v>
      </c>
      <c r="K13" s="61">
        <f>J13/I13</f>
        <v>16.666666666666668</v>
      </c>
      <c r="L13" s="44">
        <f>IF(K13&lt;0%,0,$G$6*E13*MIN(K13,100%))</f>
        <v>42868.24</v>
      </c>
      <c r="M13" s="60"/>
      <c r="N13" s="59"/>
    </row>
    <row r="14" spans="2:14" ht="158.44999999999999" customHeight="1" x14ac:dyDescent="0.65">
      <c r="B14" s="58" t="s">
        <v>27</v>
      </c>
      <c r="C14" s="57" t="s">
        <v>26</v>
      </c>
      <c r="D14" s="56"/>
      <c r="E14" s="55"/>
      <c r="F14" s="54" t="s">
        <v>25</v>
      </c>
      <c r="G14" s="54"/>
      <c r="H14" s="53" t="s">
        <v>21</v>
      </c>
      <c r="I14" s="53"/>
      <c r="J14" s="53"/>
      <c r="K14" s="52">
        <v>0.01</v>
      </c>
      <c r="L14" s="44">
        <f>IF(AND(K14&lt;=7%,K14&gt;0%),0,IF(K14&gt;7%,G6*-10%))</f>
        <v>0</v>
      </c>
      <c r="N14" s="59"/>
    </row>
    <row r="15" spans="2:14" ht="118.25" customHeight="1" x14ac:dyDescent="0.65">
      <c r="B15" s="58" t="s">
        <v>24</v>
      </c>
      <c r="C15" s="57" t="s">
        <v>23</v>
      </c>
      <c r="D15" s="56"/>
      <c r="E15" s="55"/>
      <c r="F15" s="54" t="s">
        <v>22</v>
      </c>
      <c r="G15" s="54"/>
      <c r="H15" s="53" t="s">
        <v>21</v>
      </c>
      <c r="I15" s="53"/>
      <c r="J15" s="53"/>
      <c r="K15" s="52">
        <v>0.05</v>
      </c>
      <c r="L15" s="44">
        <f>IF(AND(K15&lt;=7%,K15&gt;0%),0,IF(K15&gt;7%,G6*-5%))</f>
        <v>0</v>
      </c>
    </row>
    <row r="16" spans="2:14" ht="118.25" customHeight="1" thickBot="1" x14ac:dyDescent="0.7">
      <c r="B16" s="43" t="s">
        <v>20</v>
      </c>
      <c r="C16" s="42" t="s">
        <v>19</v>
      </c>
      <c r="D16" s="42"/>
      <c r="E16" s="41">
        <v>0.05</v>
      </c>
      <c r="F16" s="51" t="s">
        <v>18</v>
      </c>
      <c r="G16" s="50"/>
      <c r="H16" s="50"/>
      <c r="I16" s="50"/>
      <c r="J16" s="49"/>
      <c r="K16" s="45" t="s">
        <v>14</v>
      </c>
      <c r="L16" s="44">
        <f>IF(K16="нет",-G6*5%,0)</f>
        <v>0</v>
      </c>
    </row>
    <row r="17" spans="1:14" ht="118.25" customHeight="1" thickBot="1" x14ac:dyDescent="0.7">
      <c r="B17" s="43" t="s">
        <v>17</v>
      </c>
      <c r="C17" s="42" t="s">
        <v>16</v>
      </c>
      <c r="D17" s="42"/>
      <c r="E17" s="41">
        <v>0.05</v>
      </c>
      <c r="F17" s="48" t="s">
        <v>15</v>
      </c>
      <c r="G17" s="47"/>
      <c r="H17" s="47"/>
      <c r="I17" s="47"/>
      <c r="J17" s="46"/>
      <c r="K17" s="45" t="s">
        <v>14</v>
      </c>
      <c r="L17" s="44">
        <f>IF(K17="нет",-G6*5%,0)</f>
        <v>0</v>
      </c>
    </row>
    <row r="18" spans="1:14" ht="53.45" customHeight="1" thickBot="1" x14ac:dyDescent="0.7">
      <c r="B18" s="43" t="s">
        <v>13</v>
      </c>
      <c r="C18" s="42" t="s">
        <v>12</v>
      </c>
      <c r="D18" s="42"/>
      <c r="E18" s="41">
        <v>-0.1</v>
      </c>
      <c r="F18" s="40" t="s">
        <v>11</v>
      </c>
      <c r="G18" s="40"/>
      <c r="H18" s="39" t="s">
        <v>10</v>
      </c>
      <c r="I18" s="38">
        <v>0.85</v>
      </c>
      <c r="J18" s="38"/>
      <c r="K18" s="37">
        <v>0.85</v>
      </c>
      <c r="L18" s="36">
        <f>IF(K18 &gt;= I18,0,IF(K18 &lt; I18,G6*E18))</f>
        <v>0</v>
      </c>
      <c r="M18" s="35"/>
      <c r="N18" s="34"/>
    </row>
    <row r="19" spans="1:14" customFormat="1" ht="18.399999999999999" thickBot="1" x14ac:dyDescent="0.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4" customFormat="1" ht="21.4" thickBot="1" x14ac:dyDescent="0.5">
      <c r="B20" s="33" t="s">
        <v>9</v>
      </c>
      <c r="C20" s="32"/>
      <c r="D20" s="32"/>
      <c r="E20" s="31"/>
      <c r="F20" s="19" t="s">
        <v>8</v>
      </c>
      <c r="G20" s="19"/>
      <c r="H20" s="19"/>
      <c r="I20" s="19"/>
      <c r="J20" s="19"/>
      <c r="K20" s="18"/>
      <c r="L20" s="17">
        <v>0</v>
      </c>
    </row>
    <row r="21" spans="1:14" customFormat="1" ht="21.4" thickBot="1" x14ac:dyDescent="0.7">
      <c r="B21" s="30"/>
      <c r="C21" s="29"/>
      <c r="D21" s="29"/>
      <c r="E21" s="28"/>
      <c r="F21" s="1"/>
      <c r="G21" s="1"/>
      <c r="H21" s="1"/>
      <c r="I21" s="1"/>
      <c r="J21" s="1"/>
      <c r="K21" s="1"/>
      <c r="L21" s="1"/>
    </row>
    <row r="22" spans="1:14" customFormat="1" ht="21.4" thickBot="1" x14ac:dyDescent="0.5">
      <c r="B22" s="27"/>
      <c r="C22" s="26"/>
      <c r="D22" s="26"/>
      <c r="E22" s="25"/>
      <c r="F22" s="19" t="s">
        <v>7</v>
      </c>
      <c r="G22" s="19"/>
      <c r="H22" s="19"/>
      <c r="I22" s="19"/>
      <c r="J22" s="19"/>
      <c r="K22" s="18"/>
      <c r="L22" s="17">
        <v>0</v>
      </c>
    </row>
    <row r="23" spans="1:14" customFormat="1" ht="21.4" thickBot="1" x14ac:dyDescent="0.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24"/>
    </row>
    <row r="24" spans="1:14" customFormat="1" ht="21.4" thickBot="1" x14ac:dyDescent="0.5">
      <c r="B24" s="23" t="s">
        <v>6</v>
      </c>
      <c r="C24" s="22"/>
      <c r="D24" s="22"/>
      <c r="E24" s="21"/>
      <c r="F24" s="20" t="s">
        <v>5</v>
      </c>
      <c r="G24" s="19"/>
      <c r="H24" s="19"/>
      <c r="I24" s="19"/>
      <c r="J24" s="19"/>
      <c r="K24" s="18"/>
      <c r="L24" s="17">
        <f>SUM(L10:L13)+SUM(L14:L18)</f>
        <v>1071706</v>
      </c>
    </row>
    <row r="25" spans="1:14" customFormat="1" x14ac:dyDescent="0.6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4" ht="21.4" thickBot="1" x14ac:dyDescent="0.7"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4" ht="21.4" thickBot="1" x14ac:dyDescent="0.7">
      <c r="B27" s="15"/>
      <c r="C27" s="15"/>
      <c r="D27" s="15"/>
      <c r="E27" s="15"/>
      <c r="F27" s="15"/>
      <c r="G27" s="15"/>
      <c r="H27" s="15"/>
      <c r="I27" s="14"/>
      <c r="J27" s="13"/>
      <c r="K27" s="13"/>
      <c r="L27" s="12" t="s">
        <v>4</v>
      </c>
    </row>
    <row r="28" spans="1:14" ht="21.4" thickBot="1" x14ac:dyDescent="0.7">
      <c r="B28" s="4"/>
      <c r="C28" s="4"/>
      <c r="D28" s="4"/>
      <c r="E28" s="4"/>
      <c r="F28" s="4"/>
      <c r="G28" s="4"/>
      <c r="H28" s="4"/>
      <c r="I28" s="6"/>
      <c r="J28" s="11" t="s">
        <v>3</v>
      </c>
      <c r="K28" s="10">
        <f>L10</f>
        <v>535853</v>
      </c>
      <c r="L28" s="9">
        <f>L24-L10</f>
        <v>535853</v>
      </c>
    </row>
    <row r="29" spans="1:14" x14ac:dyDescent="0.65">
      <c r="A29" s="2"/>
      <c r="B29" s="5" t="s">
        <v>2</v>
      </c>
      <c r="C29" s="6"/>
      <c r="D29" s="6"/>
      <c r="E29" s="7"/>
      <c r="F29" s="7"/>
      <c r="G29" s="6"/>
      <c r="H29" s="6"/>
      <c r="I29" s="6"/>
      <c r="J29" s="4"/>
      <c r="K29" s="4"/>
      <c r="L29" s="4"/>
    </row>
    <row r="30" spans="1:14" x14ac:dyDescent="0.65">
      <c r="A30" s="2"/>
      <c r="B30" s="4"/>
      <c r="C30" s="4"/>
      <c r="D30" s="4"/>
      <c r="E30" s="8"/>
      <c r="F30" s="7"/>
      <c r="G30" s="6"/>
      <c r="H30" s="6"/>
      <c r="I30" s="6"/>
      <c r="J30" s="4"/>
      <c r="K30" s="4"/>
      <c r="L30" s="4"/>
    </row>
    <row r="31" spans="1:14" x14ac:dyDescent="0.65">
      <c r="A31" s="2"/>
      <c r="B31" s="5" t="s">
        <v>1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4" s="2" customFormat="1" x14ac:dyDescent="0.65">
      <c r="A32" s="1"/>
      <c r="B32" s="1"/>
      <c r="C32" s="1" t="s">
        <v>0</v>
      </c>
      <c r="D32" s="1"/>
      <c r="E32" s="3"/>
      <c r="F32" s="3"/>
      <c r="G32" s="3"/>
      <c r="H32" s="3"/>
      <c r="I32" s="3"/>
      <c r="J32" s="3"/>
      <c r="K32" s="3"/>
      <c r="L32" s="3"/>
    </row>
    <row r="33" spans="1:4" s="2" customFormat="1" x14ac:dyDescent="0.65">
      <c r="A33" s="1"/>
      <c r="B33" s="1"/>
      <c r="C33" s="1"/>
      <c r="D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Diarbek Muldabaev</cp:lastModifiedBy>
  <dcterms:created xsi:type="dcterms:W3CDTF">2026-04-20T04:47:02Z</dcterms:created>
  <dcterms:modified xsi:type="dcterms:W3CDTF">2026-04-20T04:58:30Z</dcterms:modified>
</cp:coreProperties>
</file>