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.Muldabaev\Desktop\Приложения для сервиса\Ндс\"/>
    </mc:Choice>
  </mc:AlternateContent>
  <xr:revisionPtr revIDLastSave="0" documentId="13_ncr:1_{3F616036-9ACB-4A48-AE97-79F59BA838A6}" xr6:coauthVersionLast="47" xr6:coauthVersionMax="47" xr10:uidLastSave="{00000000-0000-0000-0000-000000000000}"/>
  <bookViews>
    <workbookView xWindow="-98" yWindow="-98" windowWidth="21795" windowHeight="11625" activeTab="1" xr2:uid="{00000000-000D-0000-FFFF-FFFF00000000}"/>
  </bookViews>
  <sheets>
    <sheet name="Вывод по Ф300" sheetId="1" r:id="rId1"/>
    <sheet name="Поквартально" sheetId="2" r:id="rId2"/>
    <sheet name="Лист_1" sheetId="4" r:id="rId3"/>
    <sheet name="Источник строк" sheetId="3" r:id="rId4"/>
  </sheets>
  <definedNames>
    <definedName name="_xlnm._FilterDatabase" localSheetId="1" hidden="1">Поквартально!$A$8:$B$8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2" l="1"/>
  <c r="F11" i="2"/>
  <c r="E12" i="2"/>
  <c r="E10" i="2"/>
  <c r="E11" i="2"/>
  <c r="C9" i="2"/>
  <c r="C10" i="2"/>
  <c r="C11" i="2"/>
  <c r="C12" i="2"/>
  <c r="C13" i="2"/>
  <c r="C14" i="2"/>
  <c r="C15" i="2"/>
  <c r="C16" i="2"/>
  <c r="C17" i="2"/>
  <c r="C18" i="2"/>
  <c r="C19" i="2"/>
  <c r="J6" i="2"/>
  <c r="A105" i="4" a="1"/>
  <c r="A10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<sst xmlns="http://schemas.openxmlformats.org/spreadsheetml/2006/main" count="187" uniqueCount="147">
  <si>
    <t>Анализ форм 300: ДЦ Тараз</t>
  </si>
  <si>
    <t>Источник</t>
  </si>
  <si>
    <t>Только формы 300 из папки НДС</t>
  </si>
  <si>
    <t>Период</t>
  </si>
  <si>
    <t>2025 полностью + 1 кв 2026</t>
  </si>
  <si>
    <t>Вывод по факту 2025</t>
  </si>
  <si>
    <t>Общий оборот</t>
  </si>
  <si>
    <t>Облагаемый оборот</t>
  </si>
  <si>
    <t>Освобожденный оборот</t>
  </si>
  <si>
    <t>Доля облагаемого оборота</t>
  </si>
  <si>
    <t>Доля освобожденного оборота</t>
  </si>
  <si>
    <t>Начисленный НДС</t>
  </si>
  <si>
    <t>Корректировка НДС</t>
  </si>
  <si>
    <t>Входной НДС всего</t>
  </si>
  <si>
    <t>Разрешенный к зачету НДС</t>
  </si>
  <si>
    <t>НДС не принят к зачету</t>
  </si>
  <si>
    <t>Чистый НДС к уплате</t>
  </si>
  <si>
    <t>Ключевой смысл</t>
  </si>
  <si>
    <t>По формам 300 видно, что компания уже применяет пропорциональный метод зачета НДС.</t>
  </si>
  <si>
    <t>Это означает, что формы уже подтверждают смешанный характер оборота: облагаемый и освобожденный одновременно.</t>
  </si>
  <si>
    <t>Если доля освобожденного оборота вырастет, сумма НДС к зачету будет снижаться пропорционально.</t>
  </si>
  <si>
    <t>Файл намеренно не использует ОПУ и ОСВ: только факты из деклараций 300.</t>
  </si>
  <si>
    <t>Доля облагаемого</t>
  </si>
  <si>
    <t>Доля освобожденного</t>
  </si>
  <si>
    <t>Корректировка</t>
  </si>
  <si>
    <t>Разрешенный к зачету</t>
  </si>
  <si>
    <t>2025 Q1</t>
  </si>
  <si>
    <t>2025 Q2</t>
  </si>
  <si>
    <t>2025 Q3</t>
  </si>
  <si>
    <t>2025 Q4</t>
  </si>
  <si>
    <t>2026 Q1</t>
  </si>
  <si>
    <t>Какие строки формы 300 использованы</t>
  </si>
  <si>
    <t>300.00.001</t>
  </si>
  <si>
    <t>Облагаемый оборот и начисленный НДС</t>
  </si>
  <si>
    <t>300.00.003</t>
  </si>
  <si>
    <t>Корректировка размера облагаемого оборота</t>
  </si>
  <si>
    <t>300.00.005</t>
  </si>
  <si>
    <t>Освобожденный от НДС оборот</t>
  </si>
  <si>
    <t>300.00.006</t>
  </si>
  <si>
    <t>300.00.023</t>
  </si>
  <si>
    <t>Общая сумма НДС, относимого в зачет</t>
  </si>
  <si>
    <t>Строка 84 на 2 листе</t>
  </si>
  <si>
    <t>Разрешенный к зачету НДС при пропорциональном методе</t>
  </si>
  <si>
    <t>Примечание</t>
  </si>
  <si>
    <t>В 2026 Q1 в формах 300 нет заполненного разрешенного к зачету НДС в той же структуре, поэтому в отчете он оставлен как 0 по факту файла.</t>
  </si>
  <si>
    <t>Прибыль (убыток)</t>
  </si>
  <si>
    <t>Электроэнергия</t>
  </si>
  <si>
    <t>Штрафы (не на вычет)</t>
  </si>
  <si>
    <t>Хозяйственные расходы офиса</t>
  </si>
  <si>
    <t>Услуги ТБО</t>
  </si>
  <si>
    <t>услуги стороних организаций для клиентов (Авто 142)</t>
  </si>
  <si>
    <t>услуги стороних организаций для клиентов</t>
  </si>
  <si>
    <t>Услуги почты</t>
  </si>
  <si>
    <t>Услуги по платной автомобильной дороге</t>
  </si>
  <si>
    <t>Услуги по обслужованию клиентов (бар)</t>
  </si>
  <si>
    <t>Услуги по заправке картриджа</t>
  </si>
  <si>
    <t>Услуги банка</t>
  </si>
  <si>
    <t>Услуги  програмиста и прочие компьютерные услуги</t>
  </si>
  <si>
    <t>транспортные расходы/доставка</t>
  </si>
  <si>
    <t>Текущий ремонт ОС</t>
  </si>
  <si>
    <t>Суточные</t>
  </si>
  <si>
    <t>Страхование сотрудников</t>
  </si>
  <si>
    <t>Страхование имущества</t>
  </si>
  <si>
    <t>списание товаров по гарантии САП</t>
  </si>
  <si>
    <t>Списание товаров НЕ НА ВЫЧЕТ (в счет чистой прибыли)</t>
  </si>
  <si>
    <t>списание ОС</t>
  </si>
  <si>
    <t>Списание на себестоимость Проданных Авто</t>
  </si>
  <si>
    <t>Списание запчастей по гарантии</t>
  </si>
  <si>
    <t>Социальный налог</t>
  </si>
  <si>
    <t>Социальные отчисления</t>
  </si>
  <si>
    <t>содержание служебного авто запчасти и услуги</t>
  </si>
  <si>
    <t>Себестоимость Тех.сервиса - Бонусы механиков</t>
  </si>
  <si>
    <t>Себестоимость ОС</t>
  </si>
  <si>
    <t>Себестоимость запасных частей магазин</t>
  </si>
  <si>
    <t>Себестоимость ДОП.ОБОРУДОВАНИЯ (возмещении от дистрибьюции)</t>
  </si>
  <si>
    <t>Связь, офд, интернет</t>
  </si>
  <si>
    <t>Рекламные расходы</t>
  </si>
  <si>
    <t>Расходы при обмене валюты</t>
  </si>
  <si>
    <t>Расходы по содержанию тест драйв авто</t>
  </si>
  <si>
    <t>Расходы по содержанию клиентской зоны (ТМЦ)</t>
  </si>
  <si>
    <t>Расходы по содержанию клиентской зоны</t>
  </si>
  <si>
    <t>Расходы по содержанию автосервиса</t>
  </si>
  <si>
    <t>Расходы по выгрузке вагонов</t>
  </si>
  <si>
    <t>Расходы НЕ идущие на вычет по КПН</t>
  </si>
  <si>
    <t>Прочие расходы НЕ НА ВЫЧЕТ (в счет чистой прибыли)</t>
  </si>
  <si>
    <t>Прочие расходы</t>
  </si>
  <si>
    <t>Проживание</t>
  </si>
  <si>
    <t>Проезд  при  командировках</t>
  </si>
  <si>
    <t>Предпродажная подготовка</t>
  </si>
  <si>
    <t>Подписка на периодику</t>
  </si>
  <si>
    <t>Перезарядка огнетушителей порошковых ОП-5</t>
  </si>
  <si>
    <t>Отчисления ОСМС</t>
  </si>
  <si>
    <t>Оплата труда</t>
  </si>
  <si>
    <t>Обязательные пенсионные взносы работодателя</t>
  </si>
  <si>
    <t>Обучение сотрудников</t>
  </si>
  <si>
    <t>НДС не принятый к зачету</t>
  </si>
  <si>
    <t>Налог на транспорт</t>
  </si>
  <si>
    <t>Налог на имущество</t>
  </si>
  <si>
    <t>налог на  рекламу</t>
  </si>
  <si>
    <t>Монтаж,наладка,компьютерные услуги, услуги програмиста</t>
  </si>
  <si>
    <t>Маркетинговые расходы</t>
  </si>
  <si>
    <t>Консалтинговые услуги</t>
  </si>
  <si>
    <t>Ком.услуги арендованного помещения</t>
  </si>
  <si>
    <t>Канц.товары, бланки</t>
  </si>
  <si>
    <t>Доставка</t>
  </si>
  <si>
    <t>Возмещение затрат за консультационные услуги</t>
  </si>
  <si>
    <t>Аренда Помещений</t>
  </si>
  <si>
    <t>Амортизация ФА</t>
  </si>
  <si>
    <t>7.Себестоимость зап.частей и расх.материалов</t>
  </si>
  <si>
    <t>3.1 Списание себестоимости ДО (акция)</t>
  </si>
  <si>
    <t>3 Списание себестоимости ДО</t>
  </si>
  <si>
    <t>2. Списание на себестоимость Сервис Кузовной</t>
  </si>
  <si>
    <t>1 Списание на себестоимость Сервис</t>
  </si>
  <si>
    <t>Расходы</t>
  </si>
  <si>
    <t>ВЭК</t>
  </si>
  <si>
    <t>Trade-in</t>
  </si>
  <si>
    <t>Доходы без НДС</t>
  </si>
  <si>
    <t>Сумма</t>
  </si>
  <si>
    <t>Аналитика</t>
  </si>
  <si>
    <t>Итого</t>
  </si>
  <si>
    <t>март 26</t>
  </si>
  <si>
    <t>февр. 26</t>
  </si>
  <si>
    <t>янв. 26</t>
  </si>
  <si>
    <t>дек. 25</t>
  </si>
  <si>
    <t>нояб. 25</t>
  </si>
  <si>
    <t>окт. 25</t>
  </si>
  <si>
    <t>сент. 25</t>
  </si>
  <si>
    <t>авг. 25</t>
  </si>
  <si>
    <t>июль 25</t>
  </si>
  <si>
    <t>июнь 25</t>
  </si>
  <si>
    <t>май 25</t>
  </si>
  <si>
    <t>апр. 25</t>
  </si>
  <si>
    <t>март 25</t>
  </si>
  <si>
    <t>февр. 25</t>
  </si>
  <si>
    <t>янв. 25</t>
  </si>
  <si>
    <t>Вид</t>
  </si>
  <si>
    <t>Сервис</t>
  </si>
  <si>
    <t>Запчасть</t>
  </si>
  <si>
    <t>Доп</t>
  </si>
  <si>
    <t>Ос</t>
  </si>
  <si>
    <t>Маржа</t>
  </si>
  <si>
    <t>Гарантия</t>
  </si>
  <si>
    <t>Прочее</t>
  </si>
  <si>
    <t>Каско</t>
  </si>
  <si>
    <t>Ав от банк</t>
  </si>
  <si>
    <t>Доход</t>
  </si>
  <si>
    <t>Сумма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</si>
</sst>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b/>
      <sz val="15"/>
      <color rgb="FF123B5D"/>
      <name val="Calibri"/>
    </font>
    <font>
      <b/>
      <sz val="12"/>
      <color rgb="FF123B5D"/>
      <name val="Calibri"/>
    </font>
    <font>
      <sz val="10"/>
      <color rgb="FF1F1F1F"/>
      <name val="Calibri"/>
    </font>
    <font>
      <b/>
      <sz val="10"/>
      <color rgb="FF2F2F2F"/>
      <name val="Calibri"/>
    </font>
    <font>
      <b/>
      <sz val="10"/>
      <color rgb="FFFFFFFF"/>
      <name val="Calibri"/>
    </font>
    <font>
      <sz val="11"/>
      <color theme="1"/>
      <name val="Calibri"/>
      <family val="2"/>
      <scheme val="minor"/>
    </font>
    <font>
      <sz val="8"/>
      <name val="Arial"/>
    </font>
    <font>
      <sz val="10"/>
      <color rgb="FF003F2F"/>
      <name val="Arial"/>
    </font>
    <font>
      <sz val="10"/>
      <color rgb="FFFF0000"/>
      <name val="Arial"/>
    </font>
    <font>
      <sz val="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DEFD7"/>
      </patternFill>
    </fill>
    <fill>
      <patternFill patternType="solid">
        <fgColor rgb="FFE9F2FB"/>
      </patternFill>
    </fill>
    <fill>
      <patternFill patternType="solid">
        <fgColor rgb="FFF7FBFF"/>
      </patternFill>
    </fill>
    <fill>
      <patternFill patternType="solid">
        <fgColor rgb="FF123B5D"/>
      </patternFill>
    </fill>
    <fill>
      <patternFill patternType="solid">
        <fgColor rgb="FFE4F0DD"/>
        <bgColor auto="1"/>
      </patternFill>
    </fill>
    <fill>
      <patternFill patternType="solid">
        <fgColor rgb="FFD6E5CB"/>
        <bgColor auto="1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7" fillId="0" borderId="0"/>
  </cellStyleXfs>
  <cellXfs count="51">
    <xf numFmtId="0" fontId="0" fillId="0" borderId="0" xfId="0"/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3" fontId="3" fillId="4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10" fontId="3" fillId="0" borderId="1" xfId="0" applyNumberFormat="1" applyFont="1" applyBorder="1" applyAlignment="1">
      <alignment vertical="top" wrapText="1"/>
    </xf>
    <xf numFmtId="10" fontId="3" fillId="4" borderId="1" xfId="0" applyNumberFormat="1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3" fontId="0" fillId="4" borderId="1" xfId="0" applyNumberFormat="1" applyFill="1" applyBorder="1" applyAlignment="1">
      <alignment vertical="top" wrapText="1"/>
    </xf>
    <xf numFmtId="10" fontId="0" fillId="4" borderId="1" xfId="0" applyNumberForma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10" fontId="0" fillId="0" borderId="1" xfId="0" applyNumberForma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7" fillId="0" borderId="0" xfId="2"/>
    <xf numFmtId="0" fontId="7" fillId="0" borderId="0" xfId="2" applyAlignment="1">
      <alignment horizontal="left"/>
    </xf>
    <xf numFmtId="3" fontId="8" fillId="6" borderId="2" xfId="2" applyNumberFormat="1" applyFont="1" applyFill="1" applyBorder="1" applyAlignment="1">
      <alignment horizontal="right" vertical="top"/>
    </xf>
    <xf numFmtId="3" fontId="9" fillId="6" borderId="2" xfId="2" applyNumberFormat="1" applyFont="1" applyFill="1" applyBorder="1" applyAlignment="1">
      <alignment horizontal="right" vertical="top"/>
    </xf>
    <xf numFmtId="3" fontId="9" fillId="6" borderId="2" xfId="2" applyNumberFormat="1" applyFont="1" applyFill="1" applyBorder="1" applyAlignment="1">
      <alignment vertical="top"/>
    </xf>
    <xf numFmtId="0" fontId="8" fillId="6" borderId="2" xfId="2" applyFont="1" applyFill="1" applyBorder="1" applyAlignment="1">
      <alignment vertical="top" wrapText="1"/>
    </xf>
    <xf numFmtId="3" fontId="7" fillId="0" borderId="2" xfId="2" applyNumberFormat="1" applyBorder="1" applyAlignment="1">
      <alignment horizontal="right" vertical="top"/>
    </xf>
    <xf numFmtId="0" fontId="7" fillId="0" borderId="2" xfId="2" applyBorder="1" applyAlignment="1">
      <alignment horizontal="left" vertical="top"/>
    </xf>
    <xf numFmtId="0" fontId="7" fillId="0" borderId="3" xfId="2" applyBorder="1" applyAlignment="1">
      <alignment horizontal="left" vertical="top"/>
    </xf>
    <xf numFmtId="0" fontId="7" fillId="0" borderId="2" xfId="2" applyBorder="1" applyAlignment="1">
      <alignment vertical="top" wrapText="1"/>
    </xf>
    <xf numFmtId="1" fontId="7" fillId="0" borderId="2" xfId="2" applyNumberFormat="1" applyBorder="1" applyAlignment="1">
      <alignment horizontal="right" vertical="top"/>
    </xf>
    <xf numFmtId="3" fontId="7" fillId="0" borderId="2" xfId="2" applyNumberFormat="1" applyBorder="1" applyAlignment="1">
      <alignment vertical="top"/>
    </xf>
    <xf numFmtId="3" fontId="10" fillId="0" borderId="2" xfId="2" applyNumberFormat="1" applyFont="1" applyBorder="1" applyAlignment="1">
      <alignment horizontal="right" vertical="top"/>
    </xf>
    <xf numFmtId="0" fontId="7" fillId="0" borderId="3" xfId="2" applyBorder="1" applyAlignment="1">
      <alignment horizontal="left" vertical="top" wrapText="1" indent="2"/>
    </xf>
    <xf numFmtId="3" fontId="8" fillId="6" borderId="2" xfId="2" applyNumberFormat="1" applyFont="1" applyFill="1" applyBorder="1" applyAlignment="1">
      <alignment vertical="top"/>
    </xf>
    <xf numFmtId="0" fontId="8" fillId="7" borderId="4" xfId="2" applyFont="1" applyFill="1" applyBorder="1" applyAlignment="1">
      <alignment horizontal="left" vertical="top" wrapText="1"/>
    </xf>
    <xf numFmtId="0" fontId="8" fillId="7" borderId="5" xfId="2" applyFont="1" applyFill="1" applyBorder="1" applyAlignment="1">
      <alignment vertical="top"/>
    </xf>
    <xf numFmtId="0" fontId="8" fillId="7" borderId="6" xfId="2" applyFont="1" applyFill="1" applyBorder="1" applyAlignment="1">
      <alignment vertical="top"/>
    </xf>
    <xf numFmtId="0" fontId="8" fillId="7" borderId="4" xfId="2" applyFont="1" applyFill="1" applyBorder="1" applyAlignment="1">
      <alignment vertical="top" wrapText="1"/>
    </xf>
    <xf numFmtId="0" fontId="8" fillId="7" borderId="4" xfId="2" applyFont="1" applyFill="1" applyBorder="1" applyAlignment="1">
      <alignment horizontal="left" vertical="top"/>
    </xf>
    <xf numFmtId="0" fontId="8" fillId="7" borderId="7" xfId="2" applyFont="1" applyFill="1" applyBorder="1" applyAlignment="1">
      <alignment vertical="top"/>
    </xf>
    <xf numFmtId="0" fontId="0" fillId="0" borderId="8" xfId="0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3" fontId="0" fillId="8" borderId="1" xfId="0" applyNumberFormat="1" applyFill="1" applyBorder="1" applyAlignment="1">
      <alignment vertical="top" wrapText="1"/>
    </xf>
    <xf numFmtId="164" fontId="0" fillId="0" borderId="8" xfId="0" applyNumberFormat="1" applyBorder="1" applyAlignment="1">
      <alignment horizontal="center" vertical="center"/>
    </xf>
    <xf numFmtId="164" fontId="0" fillId="8" borderId="8" xfId="0" applyNumberForma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3" fontId="0" fillId="0" borderId="0" xfId="0" applyNumberFormat="1"/>
    <xf numFmtId="164" fontId="0" fillId="0" borderId="0" xfId="1" applyNumberFormat="1" applyFont="1"/>
  </cellXfs>
  <cellStyles count="3">
    <cellStyle name="Обычный" xfId="0" builtinId="0"/>
    <cellStyle name="Обычный 2" xfId="2" xr:uid="{B2FF5DD2-4841-4285-9AEC-C23DF937FCDA}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pane ySplit="5" topLeftCell="A6" activePane="bottomLeft" state="frozen"/>
      <selection pane="bottomLeft" activeCell="B15" sqref="B15"/>
    </sheetView>
  </sheetViews>
  <sheetFormatPr defaultRowHeight="14.25" x14ac:dyDescent="0.45"/>
  <cols>
    <col min="1" max="1" width="40" customWidth="1"/>
    <col min="2" max="2" width="31" customWidth="1"/>
  </cols>
  <sheetData>
    <row r="1" spans="1:2" x14ac:dyDescent="0.45">
      <c r="A1" s="47" t="s">
        <v>0</v>
      </c>
      <c r="B1" s="48"/>
    </row>
    <row r="2" spans="1:2" x14ac:dyDescent="0.45">
      <c r="A2" s="2" t="s">
        <v>1</v>
      </c>
      <c r="B2" s="2" t="s">
        <v>2</v>
      </c>
    </row>
    <row r="3" spans="1:2" x14ac:dyDescent="0.45">
      <c r="A3" s="2" t="s">
        <v>3</v>
      </c>
      <c r="B3" s="2" t="s">
        <v>4</v>
      </c>
    </row>
    <row r="4" spans="1:2" x14ac:dyDescent="0.45">
      <c r="A4" s="1"/>
      <c r="B4" s="1"/>
    </row>
    <row r="5" spans="1:2" ht="15.75" x14ac:dyDescent="0.45">
      <c r="A5" s="3" t="s">
        <v>5</v>
      </c>
      <c r="B5" s="1"/>
    </row>
    <row r="6" spans="1:2" x14ac:dyDescent="0.45">
      <c r="A6" s="4" t="s">
        <v>6</v>
      </c>
      <c r="B6" s="5">
        <v>1155638888</v>
      </c>
    </row>
    <row r="7" spans="1:2" x14ac:dyDescent="0.45">
      <c r="A7" s="6" t="s">
        <v>7</v>
      </c>
      <c r="B7" s="7">
        <v>1067696458</v>
      </c>
    </row>
    <row r="8" spans="1:2" x14ac:dyDescent="0.45">
      <c r="A8" s="4" t="s">
        <v>8</v>
      </c>
      <c r="B8" s="5">
        <v>88156287</v>
      </c>
    </row>
    <row r="9" spans="1:2" x14ac:dyDescent="0.45">
      <c r="A9" s="6" t="s">
        <v>9</v>
      </c>
      <c r="B9" s="8">
        <v>0.92390146185527122</v>
      </c>
    </row>
    <row r="10" spans="1:2" x14ac:dyDescent="0.45">
      <c r="A10" s="4" t="s">
        <v>10</v>
      </c>
      <c r="B10" s="9">
        <v>7.6283593357235654E-2</v>
      </c>
    </row>
    <row r="11" spans="1:2" x14ac:dyDescent="0.45">
      <c r="A11" s="6" t="s">
        <v>11</v>
      </c>
      <c r="B11" s="7">
        <v>128123569</v>
      </c>
    </row>
    <row r="12" spans="1:2" x14ac:dyDescent="0.45">
      <c r="A12" s="4" t="s">
        <v>12</v>
      </c>
      <c r="B12" s="5">
        <v>-25663</v>
      </c>
    </row>
    <row r="13" spans="1:2" x14ac:dyDescent="0.45">
      <c r="A13" s="6" t="s">
        <v>13</v>
      </c>
      <c r="B13" s="7">
        <v>62429669</v>
      </c>
    </row>
    <row r="14" spans="1:2" x14ac:dyDescent="0.45">
      <c r="A14" s="4" t="s">
        <v>14</v>
      </c>
      <c r="B14" s="5">
        <v>58352558</v>
      </c>
    </row>
    <row r="15" spans="1:2" x14ac:dyDescent="0.45">
      <c r="A15" s="6" t="s">
        <v>15</v>
      </c>
      <c r="B15" s="7">
        <v>4077111</v>
      </c>
    </row>
    <row r="16" spans="1:2" x14ac:dyDescent="0.45">
      <c r="A16" s="4" t="s">
        <v>16</v>
      </c>
      <c r="B16" s="5">
        <v>69745348</v>
      </c>
    </row>
    <row r="17" spans="1:2" x14ac:dyDescent="0.45">
      <c r="A17" s="1"/>
      <c r="B17" s="1"/>
    </row>
    <row r="18" spans="1:2" ht="15.75" x14ac:dyDescent="0.45">
      <c r="A18" s="10" t="s">
        <v>17</v>
      </c>
      <c r="B18" s="1"/>
    </row>
    <row r="19" spans="1:2" ht="26.25" x14ac:dyDescent="0.45">
      <c r="A19" s="11" t="s">
        <v>18</v>
      </c>
      <c r="B19" s="1"/>
    </row>
    <row r="20" spans="1:2" ht="39.4" x14ac:dyDescent="0.45">
      <c r="A20" s="11" t="s">
        <v>19</v>
      </c>
      <c r="B20" s="1"/>
    </row>
    <row r="21" spans="1:2" ht="39.4" x14ac:dyDescent="0.45">
      <c r="A21" s="11" t="s">
        <v>20</v>
      </c>
      <c r="B21" s="1"/>
    </row>
    <row r="22" spans="1:2" ht="26.25" x14ac:dyDescent="0.45">
      <c r="A22" s="11" t="s">
        <v>21</v>
      </c>
      <c r="B22" s="1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4.25" x14ac:dyDescent="0.45"/>
  <cols>
    <col min="1" max="1" width="14" customWidth="1"/>
    <col min="2" max="2" width="19" customWidth="1"/>
    <col min="3" max="3" width="22" customWidth="1"/>
    <col min="4" max="4" width="14" customWidth="1"/>
    <col min="5" max="5" width="20" customWidth="1"/>
    <col min="6" max="6" width="22" customWidth="1"/>
    <col min="7" max="7" width="17" customWidth="1"/>
    <col min="8" max="8" width="15" customWidth="1"/>
    <col min="9" max="9" width="19" customWidth="1"/>
    <col min="10" max="10" width="22" customWidth="1"/>
    <col min="11" max="11" width="24" customWidth="1"/>
    <col min="12" max="12" width="21" customWidth="1"/>
  </cols>
  <sheetData>
    <row r="1" spans="1:12" x14ac:dyDescent="0.45">
      <c r="A1" s="12" t="s">
        <v>3</v>
      </c>
      <c r="B1" s="12" t="s">
        <v>7</v>
      </c>
      <c r="C1" s="12" t="s">
        <v>8</v>
      </c>
      <c r="D1" s="12" t="s">
        <v>6</v>
      </c>
      <c r="E1" s="12" t="s">
        <v>22</v>
      </c>
      <c r="F1" s="12" t="s">
        <v>23</v>
      </c>
      <c r="G1" s="12" t="s">
        <v>11</v>
      </c>
      <c r="H1" s="12" t="s">
        <v>24</v>
      </c>
      <c r="I1" s="12" t="s">
        <v>13</v>
      </c>
      <c r="J1" s="12" t="s">
        <v>25</v>
      </c>
      <c r="K1" s="12" t="s">
        <v>15</v>
      </c>
      <c r="L1" s="12" t="s">
        <v>16</v>
      </c>
    </row>
    <row r="2" spans="1:12" x14ac:dyDescent="0.45">
      <c r="A2" s="13" t="s">
        <v>26</v>
      </c>
      <c r="B2" s="14">
        <v>174221189</v>
      </c>
      <c r="C2" s="14">
        <v>9876885</v>
      </c>
      <c r="D2" s="14">
        <v>184098074</v>
      </c>
      <c r="E2" s="15">
        <v>0.94634987327461118</v>
      </c>
      <c r="F2" s="15">
        <v>5.3650126725388783E-2</v>
      </c>
      <c r="G2" s="14">
        <v>20906540</v>
      </c>
      <c r="H2" s="14">
        <v>0</v>
      </c>
      <c r="I2" s="14">
        <v>13063793</v>
      </c>
      <c r="J2" s="14">
        <v>12362267</v>
      </c>
      <c r="K2" s="14">
        <v>701526</v>
      </c>
      <c r="L2" s="14">
        <v>8544273</v>
      </c>
    </row>
    <row r="3" spans="1:12" x14ac:dyDescent="0.45">
      <c r="A3" s="16" t="s">
        <v>27</v>
      </c>
      <c r="B3" s="17">
        <v>260838565</v>
      </c>
      <c r="C3" s="17">
        <v>1363308</v>
      </c>
      <c r="D3" s="17">
        <v>262201873</v>
      </c>
      <c r="E3" s="18">
        <v>0.9948005405743231</v>
      </c>
      <c r="F3" s="18">
        <v>5.1994594256769477E-3</v>
      </c>
      <c r="G3" s="17">
        <v>31300626</v>
      </c>
      <c r="H3" s="17">
        <v>0</v>
      </c>
      <c r="I3" s="17">
        <v>17031945</v>
      </c>
      <c r="J3" s="17">
        <v>16943379</v>
      </c>
      <c r="K3" s="17">
        <v>88566</v>
      </c>
      <c r="L3" s="17">
        <v>14357247</v>
      </c>
    </row>
    <row r="4" spans="1:12" x14ac:dyDescent="0.45">
      <c r="A4" s="13" t="s">
        <v>28</v>
      </c>
      <c r="B4" s="14">
        <v>280951767</v>
      </c>
      <c r="C4" s="14">
        <v>14641447</v>
      </c>
      <c r="D4" s="14">
        <v>295593214</v>
      </c>
      <c r="E4" s="15">
        <v>0.95046758076117399</v>
      </c>
      <c r="F4" s="15">
        <v>4.953241923882596E-2</v>
      </c>
      <c r="G4" s="14">
        <v>33714211</v>
      </c>
      <c r="H4" s="14">
        <v>0</v>
      </c>
      <c r="I4" s="14">
        <v>15636015</v>
      </c>
      <c r="J4" s="14">
        <v>14862032</v>
      </c>
      <c r="K4" s="14">
        <v>773983</v>
      </c>
      <c r="L4" s="14">
        <v>18852179</v>
      </c>
    </row>
    <row r="5" spans="1:12" x14ac:dyDescent="0.45">
      <c r="A5" s="16" t="s">
        <v>29</v>
      </c>
      <c r="B5" s="17">
        <v>351684937</v>
      </c>
      <c r="C5" s="17">
        <v>62274647</v>
      </c>
      <c r="D5" s="17">
        <v>413745727</v>
      </c>
      <c r="E5" s="18">
        <v>0.85000258383333105</v>
      </c>
      <c r="F5" s="18">
        <v>0.15051429642921729</v>
      </c>
      <c r="G5" s="17">
        <v>42202192</v>
      </c>
      <c r="H5" s="17">
        <v>-25663</v>
      </c>
      <c r="I5" s="17">
        <v>16697916</v>
      </c>
      <c r="J5" s="17">
        <v>14184880</v>
      </c>
      <c r="K5" s="17">
        <v>2513036</v>
      </c>
      <c r="L5" s="17">
        <v>27991649</v>
      </c>
    </row>
    <row r="6" spans="1:12" x14ac:dyDescent="0.45">
      <c r="A6" s="13" t="s">
        <v>30</v>
      </c>
      <c r="B6" s="14">
        <v>210453136</v>
      </c>
      <c r="C6" s="14">
        <v>1499706</v>
      </c>
      <c r="D6" s="14">
        <v>211952842</v>
      </c>
      <c r="E6" s="15">
        <v>0.9929243411607569</v>
      </c>
      <c r="F6" s="15">
        <v>7.075658839243118E-3</v>
      </c>
      <c r="G6" s="14">
        <v>33672502</v>
      </c>
      <c r="H6" s="14">
        <v>0</v>
      </c>
      <c r="I6" s="14">
        <v>14172974</v>
      </c>
      <c r="J6" s="44">
        <f>I6-1000000</f>
        <v>13172974</v>
      </c>
      <c r="K6" s="14">
        <v>14172974</v>
      </c>
      <c r="L6" s="14">
        <v>33672502</v>
      </c>
    </row>
    <row r="8" spans="1:12" x14ac:dyDescent="0.45">
      <c r="A8" s="42" t="s">
        <v>145</v>
      </c>
      <c r="B8" s="42" t="s">
        <v>117</v>
      </c>
      <c r="C8" s="42" t="s">
        <v>146</v>
      </c>
    </row>
    <row r="9" spans="1:12" x14ac:dyDescent="0.45">
      <c r="A9" s="42" t="s">
        <v>140</v>
      </c>
      <c r="B9" s="43">
        <v>641775217</v>
      </c>
      <c r="C9" s="45">
        <f>B9*0.12</f>
        <v>77013026.039999992</v>
      </c>
    </row>
    <row r="10" spans="1:12" x14ac:dyDescent="0.45">
      <c r="A10" s="42" t="s">
        <v>137</v>
      </c>
      <c r="B10" s="43">
        <v>188199213</v>
      </c>
      <c r="C10" s="45">
        <f t="shared" ref="C10:C19" si="0">B10*0.12</f>
        <v>22583905.559999999</v>
      </c>
      <c r="E10" s="49">
        <f>SUM(Лист_1!N3:P3)</f>
        <v>212281591</v>
      </c>
    </row>
    <row r="11" spans="1:12" x14ac:dyDescent="0.45">
      <c r="A11" s="42" t="s">
        <v>138</v>
      </c>
      <c r="B11" s="43">
        <v>114270132</v>
      </c>
      <c r="C11" s="45">
        <f t="shared" si="0"/>
        <v>13712415.84</v>
      </c>
      <c r="E11" s="49">
        <f>SUM(Лист_1!N31:P31)</f>
        <v>90605365</v>
      </c>
      <c r="F11" s="50">
        <f>E11*0.16</f>
        <v>14496858.4</v>
      </c>
    </row>
    <row r="12" spans="1:12" x14ac:dyDescent="0.45">
      <c r="A12" s="42" t="s">
        <v>114</v>
      </c>
      <c r="B12" s="43">
        <v>110881157</v>
      </c>
      <c r="C12" s="45">
        <f t="shared" si="0"/>
        <v>13305738.84</v>
      </c>
      <c r="E12" s="49">
        <f>E10-E11</f>
        <v>121676226</v>
      </c>
      <c r="F12" s="50">
        <f>E12*0.16</f>
        <v>19468196.16</v>
      </c>
    </row>
    <row r="13" spans="1:12" x14ac:dyDescent="0.45">
      <c r="A13" s="42" t="s">
        <v>139</v>
      </c>
      <c r="B13" s="43">
        <v>93852143</v>
      </c>
      <c r="C13" s="46">
        <f t="shared" si="0"/>
        <v>11262257.16</v>
      </c>
    </row>
    <row r="14" spans="1:12" x14ac:dyDescent="0.45">
      <c r="A14" s="42" t="s">
        <v>136</v>
      </c>
      <c r="B14" s="43">
        <v>84263016</v>
      </c>
      <c r="C14" s="45">
        <f t="shared" si="0"/>
        <v>10111561.92</v>
      </c>
    </row>
    <row r="15" spans="1:12" x14ac:dyDescent="0.45">
      <c r="A15" s="42" t="s">
        <v>141</v>
      </c>
      <c r="B15" s="43">
        <v>83555174</v>
      </c>
      <c r="C15" s="45">
        <f t="shared" si="0"/>
        <v>10026620.879999999</v>
      </c>
    </row>
    <row r="16" spans="1:12" x14ac:dyDescent="0.45">
      <c r="A16" s="42" t="s">
        <v>144</v>
      </c>
      <c r="B16" s="43">
        <v>38361819</v>
      </c>
      <c r="C16" s="45">
        <f t="shared" si="0"/>
        <v>4603418.28</v>
      </c>
    </row>
    <row r="17" spans="1:3" x14ac:dyDescent="0.45">
      <c r="A17" s="42" t="s">
        <v>142</v>
      </c>
      <c r="B17" s="43">
        <v>7626304</v>
      </c>
      <c r="C17" s="45">
        <f t="shared" si="0"/>
        <v>915156.47999999998</v>
      </c>
    </row>
    <row r="18" spans="1:3" x14ac:dyDescent="0.45">
      <c r="A18" s="42" t="s">
        <v>143</v>
      </c>
      <c r="B18" s="43">
        <v>5118216</v>
      </c>
      <c r="C18" s="46">
        <f t="shared" si="0"/>
        <v>614185.91999999993</v>
      </c>
    </row>
    <row r="19" spans="1:3" x14ac:dyDescent="0.45">
      <c r="A19" s="42" t="s">
        <v>115</v>
      </c>
      <c r="B19" s="43">
        <v>1971367</v>
      </c>
      <c r="C19" s="45">
        <f t="shared" si="0"/>
        <v>236564.03999999998</v>
      </c>
    </row>
  </sheetData>
  <autoFilter ref="A8:B8" xr:uid="{00000000-0001-0000-0100-000000000000}">
    <sortState xmlns:xlrd2="http://schemas.microsoft.com/office/spreadsheetml/2017/richdata2" ref="A9:B19">
      <sortCondition descending="1" ref="B8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7BE4-72E7-4E32-83A0-496EDBE14ADE}">
  <sheetPr>
    <outlinePr summaryBelow="0" summaryRight="0"/>
    <pageSetUpPr autoPageBreaks="0" fitToPage="1"/>
  </sheetPr>
  <dimension ref="A1:Q115"/>
  <sheetViews>
    <sheetView workbookViewId="0">
      <selection activeCell="A34" sqref="A34"/>
    </sheetView>
  </sheetViews>
  <sheetFormatPr defaultColWidth="8.3984375" defaultRowHeight="11.45" customHeight="1" outlineLevelRow="1" x14ac:dyDescent="0.3"/>
  <cols>
    <col min="1" max="1" width="27.59765625" style="22" customWidth="1"/>
    <col min="2" max="2" width="14" style="22" customWidth="1"/>
    <col min="3" max="3" width="10.19921875" style="22" customWidth="1"/>
    <col min="4" max="6" width="14" style="22" customWidth="1"/>
    <col min="7" max="7" width="15.19921875" style="22" customWidth="1"/>
    <col min="8" max="11" width="14" style="22" customWidth="1"/>
    <col min="12" max="13" width="15.19921875" style="22" customWidth="1"/>
    <col min="14" max="16" width="14" style="22" customWidth="1"/>
    <col min="17" max="17" width="17.46484375" style="22" customWidth="1"/>
    <col min="18" max="16384" width="8.3984375" style="21"/>
  </cols>
  <sheetData>
    <row r="1" spans="1:17" ht="13.05" customHeight="1" x14ac:dyDescent="0.3">
      <c r="A1" s="39" t="s">
        <v>135</v>
      </c>
      <c r="B1" s="41" t="s">
        <v>134</v>
      </c>
      <c r="C1" s="41" t="s">
        <v>133</v>
      </c>
      <c r="D1" s="41" t="s">
        <v>132</v>
      </c>
      <c r="E1" s="41" t="s">
        <v>131</v>
      </c>
      <c r="F1" s="41" t="s">
        <v>130</v>
      </c>
      <c r="G1" s="41" t="s">
        <v>129</v>
      </c>
      <c r="H1" s="41" t="s">
        <v>128</v>
      </c>
      <c r="I1" s="41" t="s">
        <v>127</v>
      </c>
      <c r="J1" s="41" t="s">
        <v>126</v>
      </c>
      <c r="K1" s="41" t="s">
        <v>125</v>
      </c>
      <c r="L1" s="41" t="s">
        <v>124</v>
      </c>
      <c r="M1" s="41" t="s">
        <v>123</v>
      </c>
      <c r="N1" s="41" t="s">
        <v>122</v>
      </c>
      <c r="O1" s="41" t="s">
        <v>121</v>
      </c>
      <c r="P1" s="41" t="s">
        <v>120</v>
      </c>
      <c r="Q1" s="40" t="s">
        <v>119</v>
      </c>
    </row>
    <row r="2" spans="1:17" ht="13.05" customHeight="1" x14ac:dyDescent="0.3">
      <c r="A2" s="39" t="s">
        <v>118</v>
      </c>
      <c r="B2" s="37"/>
      <c r="C2" s="38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6" t="s">
        <v>117</v>
      </c>
    </row>
    <row r="3" spans="1:17" ht="13.05" customHeight="1" x14ac:dyDescent="0.3">
      <c r="A3" s="26" t="s">
        <v>116</v>
      </c>
      <c r="B3" s="23">
        <v>41523332</v>
      </c>
      <c r="C3" s="35">
        <v>74031608</v>
      </c>
      <c r="D3" s="23">
        <v>70263139</v>
      </c>
      <c r="E3" s="23">
        <v>81186639</v>
      </c>
      <c r="F3" s="23">
        <v>96596811</v>
      </c>
      <c r="G3" s="23">
        <v>84506132</v>
      </c>
      <c r="H3" s="23">
        <v>103728648</v>
      </c>
      <c r="I3" s="23">
        <v>88101799</v>
      </c>
      <c r="J3" s="23">
        <v>103762766</v>
      </c>
      <c r="K3" s="23">
        <v>120288177</v>
      </c>
      <c r="L3" s="23">
        <v>126561113</v>
      </c>
      <c r="M3" s="23">
        <v>167041999</v>
      </c>
      <c r="N3" s="23">
        <v>71250443</v>
      </c>
      <c r="O3" s="23">
        <v>63228544</v>
      </c>
      <c r="P3" s="23">
        <v>77802604</v>
      </c>
      <c r="Q3" s="23">
        <v>1369873756</v>
      </c>
    </row>
    <row r="4" spans="1:17" ht="11" hidden="1" customHeight="1" outlineLevel="1" x14ac:dyDescent="0.3">
      <c r="A4" s="30" t="s">
        <v>137</v>
      </c>
      <c r="B4" s="28"/>
      <c r="C4" s="29"/>
      <c r="D4" s="28"/>
      <c r="E4" s="28"/>
      <c r="F4" s="28"/>
      <c r="G4" s="28"/>
      <c r="H4" s="28"/>
      <c r="I4" s="28"/>
      <c r="J4" s="28"/>
      <c r="K4" s="28"/>
      <c r="L4" s="28"/>
      <c r="M4" s="27">
        <v>300000</v>
      </c>
      <c r="N4" s="27">
        <v>10600</v>
      </c>
      <c r="O4" s="28"/>
      <c r="P4" s="28"/>
      <c r="Q4" s="27">
        <v>310600</v>
      </c>
    </row>
    <row r="5" spans="1:17" ht="11" hidden="1" customHeight="1" outlineLevel="1" x14ac:dyDescent="0.3">
      <c r="A5" s="30" t="s">
        <v>138</v>
      </c>
      <c r="B5" s="27">
        <v>1523545</v>
      </c>
      <c r="C5" s="32">
        <v>2503482</v>
      </c>
      <c r="D5" s="27">
        <v>2273372</v>
      </c>
      <c r="E5" s="27">
        <v>299732</v>
      </c>
      <c r="F5" s="27">
        <v>820759</v>
      </c>
      <c r="G5" s="27">
        <v>556652</v>
      </c>
      <c r="H5" s="27">
        <v>226117</v>
      </c>
      <c r="I5" s="27">
        <v>775158</v>
      </c>
      <c r="J5" s="27">
        <v>1237924</v>
      </c>
      <c r="K5" s="27">
        <v>1358143</v>
      </c>
      <c r="L5" s="27">
        <v>27403504</v>
      </c>
      <c r="M5" s="27">
        <v>936782</v>
      </c>
      <c r="N5" s="27">
        <v>164655</v>
      </c>
      <c r="O5" s="27">
        <v>1011638</v>
      </c>
      <c r="P5" s="27">
        <v>285776</v>
      </c>
      <c r="Q5" s="27">
        <v>41377240</v>
      </c>
    </row>
    <row r="6" spans="1:17" ht="11" hidden="1" customHeight="1" outlineLevel="1" x14ac:dyDescent="0.3">
      <c r="A6" s="30" t="s">
        <v>136</v>
      </c>
      <c r="B6" s="27">
        <v>3737026</v>
      </c>
      <c r="C6" s="32">
        <v>3252152</v>
      </c>
      <c r="D6" s="27">
        <v>2714936</v>
      </c>
      <c r="E6" s="27">
        <v>3639303</v>
      </c>
      <c r="F6" s="27">
        <v>3693013</v>
      </c>
      <c r="G6" s="27">
        <v>4291908</v>
      </c>
      <c r="H6" s="27">
        <v>5200336</v>
      </c>
      <c r="I6" s="27">
        <v>5259264</v>
      </c>
      <c r="J6" s="27">
        <v>4759273</v>
      </c>
      <c r="K6" s="27">
        <v>5562021</v>
      </c>
      <c r="L6" s="27">
        <v>5039124</v>
      </c>
      <c r="M6" s="27">
        <v>7104719</v>
      </c>
      <c r="N6" s="27">
        <v>8087402</v>
      </c>
      <c r="O6" s="27">
        <v>4505859</v>
      </c>
      <c r="P6" s="27">
        <v>6261342</v>
      </c>
      <c r="Q6" s="27">
        <v>73107679</v>
      </c>
    </row>
    <row r="7" spans="1:17" ht="11" hidden="1" customHeight="1" outlineLevel="1" x14ac:dyDescent="0.3">
      <c r="A7" s="30" t="s">
        <v>136</v>
      </c>
      <c r="B7" s="28"/>
      <c r="C7" s="29"/>
      <c r="D7" s="27">
        <v>1754464</v>
      </c>
      <c r="E7" s="28"/>
      <c r="F7" s="27">
        <v>441964</v>
      </c>
      <c r="G7" s="27">
        <v>235714</v>
      </c>
      <c r="H7" s="27">
        <v>1819089</v>
      </c>
      <c r="I7" s="27">
        <v>694196</v>
      </c>
      <c r="J7" s="27">
        <v>2424554</v>
      </c>
      <c r="K7" s="27">
        <v>157143</v>
      </c>
      <c r="L7" s="27">
        <v>1177679</v>
      </c>
      <c r="M7" s="27">
        <v>579911</v>
      </c>
      <c r="N7" s="27">
        <v>1358190</v>
      </c>
      <c r="O7" s="28"/>
      <c r="P7" s="27">
        <v>168103</v>
      </c>
      <c r="Q7" s="27">
        <v>10811008</v>
      </c>
    </row>
    <row r="8" spans="1:17" ht="11" hidden="1" customHeight="1" outlineLevel="1" x14ac:dyDescent="0.3">
      <c r="A8" s="30" t="s">
        <v>136</v>
      </c>
      <c r="B8" s="28"/>
      <c r="C8" s="32">
        <v>8482</v>
      </c>
      <c r="D8" s="28"/>
      <c r="E8" s="27">
        <v>66793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7">
        <v>75275</v>
      </c>
    </row>
    <row r="9" spans="1:17" ht="11" hidden="1" customHeight="1" outlineLevel="1" x14ac:dyDescent="0.3">
      <c r="A9" s="30" t="s">
        <v>136</v>
      </c>
      <c r="B9" s="28"/>
      <c r="C9" s="29"/>
      <c r="D9" s="28"/>
      <c r="E9" s="27">
        <v>101652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7">
        <v>101652</v>
      </c>
    </row>
    <row r="10" spans="1:17" ht="11" hidden="1" customHeight="1" outlineLevel="1" x14ac:dyDescent="0.3">
      <c r="A10" s="30" t="s">
        <v>136</v>
      </c>
      <c r="B10" s="28"/>
      <c r="C10" s="29"/>
      <c r="D10" s="28"/>
      <c r="E10" s="27">
        <v>45179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7">
        <v>45179</v>
      </c>
    </row>
    <row r="11" spans="1:17" ht="11" hidden="1" customHeight="1" outlineLevel="1" x14ac:dyDescent="0.3">
      <c r="A11" s="30" t="s">
        <v>136</v>
      </c>
      <c r="B11" s="28"/>
      <c r="C11" s="29"/>
      <c r="D11" s="28"/>
      <c r="E11" s="27">
        <v>122223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7">
        <v>122223</v>
      </c>
    </row>
    <row r="12" spans="1:17" ht="11" hidden="1" customHeight="1" outlineLevel="1" x14ac:dyDescent="0.3">
      <c r="A12" s="30" t="s">
        <v>137</v>
      </c>
      <c r="B12" s="27">
        <v>8142327</v>
      </c>
      <c r="C12" s="32">
        <v>8827358</v>
      </c>
      <c r="D12" s="27">
        <v>8507128</v>
      </c>
      <c r="E12" s="27">
        <v>8623664</v>
      </c>
      <c r="F12" s="27">
        <v>13052741</v>
      </c>
      <c r="G12" s="27">
        <v>11498596</v>
      </c>
      <c r="H12" s="27">
        <v>13817974</v>
      </c>
      <c r="I12" s="27">
        <v>13779993</v>
      </c>
      <c r="J12" s="27">
        <v>12840892</v>
      </c>
      <c r="K12" s="27">
        <v>11712533</v>
      </c>
      <c r="L12" s="27">
        <v>11293672</v>
      </c>
      <c r="M12" s="27">
        <v>11566203</v>
      </c>
      <c r="N12" s="27">
        <v>10586330</v>
      </c>
      <c r="O12" s="27">
        <v>8541280</v>
      </c>
      <c r="P12" s="27">
        <v>11009348</v>
      </c>
      <c r="Q12" s="27">
        <v>163800039</v>
      </c>
    </row>
    <row r="13" spans="1:17" ht="11" hidden="1" customHeight="1" outlineLevel="1" x14ac:dyDescent="0.3">
      <c r="A13" s="30" t="s">
        <v>137</v>
      </c>
      <c r="B13" s="28"/>
      <c r="C13" s="29"/>
      <c r="D13" s="27">
        <v>2607143</v>
      </c>
      <c r="E13" s="27">
        <v>1059821</v>
      </c>
      <c r="F13" s="27">
        <v>553571</v>
      </c>
      <c r="G13" s="28"/>
      <c r="H13" s="27">
        <v>207143</v>
      </c>
      <c r="I13" s="27">
        <v>473214</v>
      </c>
      <c r="J13" s="27">
        <v>1700446</v>
      </c>
      <c r="K13" s="27">
        <v>697629</v>
      </c>
      <c r="L13" s="27">
        <v>1576071</v>
      </c>
      <c r="M13" s="27">
        <v>170536</v>
      </c>
      <c r="N13" s="27">
        <v>1008780</v>
      </c>
      <c r="O13" s="28"/>
      <c r="P13" s="27">
        <v>229741</v>
      </c>
      <c r="Q13" s="27">
        <v>10284097</v>
      </c>
    </row>
    <row r="14" spans="1:17" ht="11" hidden="1" customHeight="1" outlineLevel="1" x14ac:dyDescent="0.3">
      <c r="A14" s="30" t="s">
        <v>137</v>
      </c>
      <c r="B14" s="28"/>
      <c r="C14" s="32">
        <v>24598</v>
      </c>
      <c r="D14" s="28"/>
      <c r="E14" s="27">
        <v>181540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7">
        <v>206138</v>
      </c>
    </row>
    <row r="15" spans="1:17" ht="11" hidden="1" customHeight="1" outlineLevel="1" x14ac:dyDescent="0.3">
      <c r="A15" s="30" t="s">
        <v>137</v>
      </c>
      <c r="B15" s="28"/>
      <c r="C15" s="29"/>
      <c r="D15" s="28"/>
      <c r="E15" s="27">
        <v>390838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7">
        <v>390838</v>
      </c>
    </row>
    <row r="16" spans="1:17" ht="11" hidden="1" customHeight="1" outlineLevel="1" x14ac:dyDescent="0.3">
      <c r="A16" s="30" t="s">
        <v>137</v>
      </c>
      <c r="B16" s="28"/>
      <c r="C16" s="29"/>
      <c r="D16" s="28"/>
      <c r="E16" s="27">
        <v>93304</v>
      </c>
      <c r="F16" s="28"/>
      <c r="G16" s="28"/>
      <c r="H16" s="27">
        <v>112500</v>
      </c>
      <c r="I16" s="28"/>
      <c r="J16" s="28"/>
      <c r="K16" s="28"/>
      <c r="L16" s="28"/>
      <c r="M16" s="28"/>
      <c r="N16" s="28"/>
      <c r="O16" s="28"/>
      <c r="P16" s="28"/>
      <c r="Q16" s="27">
        <v>205804</v>
      </c>
    </row>
    <row r="17" spans="1:17" ht="11" hidden="1" customHeight="1" outlineLevel="1" x14ac:dyDescent="0.3">
      <c r="A17" s="30" t="s">
        <v>137</v>
      </c>
      <c r="B17" s="28"/>
      <c r="C17" s="29"/>
      <c r="D17" s="28"/>
      <c r="E17" s="27">
        <v>147154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7">
        <v>147154</v>
      </c>
    </row>
    <row r="18" spans="1:17" ht="11" hidden="1" customHeight="1" outlineLevel="1" x14ac:dyDescent="0.3">
      <c r="A18" s="30" t="s">
        <v>138</v>
      </c>
      <c r="B18" s="27">
        <v>1292701</v>
      </c>
      <c r="C18" s="32">
        <v>912098</v>
      </c>
      <c r="D18" s="27">
        <v>1161009</v>
      </c>
      <c r="E18" s="27">
        <v>231518</v>
      </c>
      <c r="F18" s="27">
        <v>579688</v>
      </c>
      <c r="G18" s="27">
        <v>1162098</v>
      </c>
      <c r="H18" s="27">
        <v>915089</v>
      </c>
      <c r="I18" s="27">
        <v>991596</v>
      </c>
      <c r="J18" s="27">
        <v>1664866</v>
      </c>
      <c r="K18" s="27">
        <v>756143</v>
      </c>
      <c r="L18" s="27">
        <v>3313996</v>
      </c>
      <c r="M18" s="27">
        <v>1781732</v>
      </c>
      <c r="N18" s="27">
        <v>518358</v>
      </c>
      <c r="O18" s="27">
        <v>1127629</v>
      </c>
      <c r="P18" s="27">
        <v>168534</v>
      </c>
      <c r="Q18" s="27">
        <v>16577056</v>
      </c>
    </row>
    <row r="19" spans="1:17" ht="11" hidden="1" customHeight="1" outlineLevel="1" x14ac:dyDescent="0.3">
      <c r="A19" s="30" t="s">
        <v>115</v>
      </c>
      <c r="B19" s="28"/>
      <c r="C19" s="32">
        <v>580357</v>
      </c>
      <c r="D19" s="27">
        <v>178571</v>
      </c>
      <c r="E19" s="27">
        <v>178571</v>
      </c>
      <c r="F19" s="28"/>
      <c r="G19" s="28"/>
      <c r="H19" s="28"/>
      <c r="I19" s="27">
        <v>357143</v>
      </c>
      <c r="J19" s="28"/>
      <c r="K19" s="28"/>
      <c r="L19" s="28"/>
      <c r="M19" s="28"/>
      <c r="N19" s="27">
        <v>288793</v>
      </c>
      <c r="O19" s="27">
        <v>387931</v>
      </c>
      <c r="P19" s="28"/>
      <c r="Q19" s="27">
        <v>1971367</v>
      </c>
    </row>
    <row r="20" spans="1:17" ht="11" hidden="1" customHeight="1" outlineLevel="1" x14ac:dyDescent="0.3">
      <c r="A20" s="30" t="s">
        <v>114</v>
      </c>
      <c r="B20" s="27">
        <v>1116071</v>
      </c>
      <c r="C20" s="32">
        <v>7580357</v>
      </c>
      <c r="D20" s="27">
        <v>2455357</v>
      </c>
      <c r="E20" s="27">
        <v>12098214</v>
      </c>
      <c r="F20" s="27">
        <v>10446429</v>
      </c>
      <c r="G20" s="27">
        <v>3883929</v>
      </c>
      <c r="H20" s="27">
        <v>9142857</v>
      </c>
      <c r="I20" s="27">
        <v>6473214</v>
      </c>
      <c r="J20" s="27">
        <v>7008929</v>
      </c>
      <c r="K20" s="28"/>
      <c r="L20" s="28"/>
      <c r="M20" s="27">
        <v>22419643</v>
      </c>
      <c r="N20" s="27">
        <v>7672414</v>
      </c>
      <c r="O20" s="27">
        <v>10066502</v>
      </c>
      <c r="P20" s="27">
        <v>10517241</v>
      </c>
      <c r="Q20" s="27">
        <v>110881157</v>
      </c>
    </row>
    <row r="21" spans="1:17" ht="11" hidden="1" customHeight="1" outlineLevel="1" x14ac:dyDescent="0.3">
      <c r="A21" s="30" t="s">
        <v>142</v>
      </c>
      <c r="B21" s="28"/>
      <c r="C21" s="29"/>
      <c r="D21" s="28"/>
      <c r="E21" s="28"/>
      <c r="F21" s="28"/>
      <c r="G21" s="28"/>
      <c r="H21" s="28"/>
      <c r="I21" s="28"/>
      <c r="J21" s="28"/>
      <c r="K21" s="28"/>
      <c r="L21" s="28"/>
      <c r="M21" s="27">
        <v>33062</v>
      </c>
      <c r="N21" s="27">
        <v>42006</v>
      </c>
      <c r="O21" s="27">
        <v>195736</v>
      </c>
      <c r="P21" s="27">
        <v>90752</v>
      </c>
      <c r="Q21" s="27">
        <v>361556</v>
      </c>
    </row>
    <row r="22" spans="1:17" ht="11" hidden="1" customHeight="1" outlineLevel="1" x14ac:dyDescent="0.3">
      <c r="A22" s="30" t="s">
        <v>141</v>
      </c>
      <c r="B22" s="27">
        <v>17782</v>
      </c>
      <c r="C22" s="32">
        <v>1517671</v>
      </c>
      <c r="D22" s="27">
        <v>1580823</v>
      </c>
      <c r="E22" s="27">
        <v>7017526</v>
      </c>
      <c r="F22" s="27">
        <v>1102166</v>
      </c>
      <c r="G22" s="27">
        <v>6158897</v>
      </c>
      <c r="H22" s="27">
        <v>4023329</v>
      </c>
      <c r="I22" s="27">
        <v>2839008</v>
      </c>
      <c r="J22" s="27">
        <v>3419139</v>
      </c>
      <c r="K22" s="27">
        <v>9955008</v>
      </c>
      <c r="L22" s="27">
        <v>12180595</v>
      </c>
      <c r="M22" s="27">
        <v>14325876</v>
      </c>
      <c r="N22" s="27">
        <v>5837019</v>
      </c>
      <c r="O22" s="27">
        <v>3114370</v>
      </c>
      <c r="P22" s="27">
        <v>7660703</v>
      </c>
      <c r="Q22" s="27">
        <v>80749912</v>
      </c>
    </row>
    <row r="23" spans="1:17" ht="11" hidden="1" customHeight="1" outlineLevel="1" x14ac:dyDescent="0.3">
      <c r="A23" s="30" t="s">
        <v>137</v>
      </c>
      <c r="B23" s="27">
        <v>752027</v>
      </c>
      <c r="C23" s="32">
        <v>39368</v>
      </c>
      <c r="D23" s="27">
        <v>117214</v>
      </c>
      <c r="E23" s="27">
        <v>835477</v>
      </c>
      <c r="F23" s="27">
        <v>1324094</v>
      </c>
      <c r="G23" s="27">
        <v>2160800</v>
      </c>
      <c r="H23" s="27">
        <v>395401</v>
      </c>
      <c r="I23" s="27">
        <v>557554</v>
      </c>
      <c r="J23" s="27">
        <v>859101</v>
      </c>
      <c r="K23" s="27">
        <v>168125</v>
      </c>
      <c r="L23" s="27">
        <v>1169047</v>
      </c>
      <c r="M23" s="27">
        <v>1799046</v>
      </c>
      <c r="N23" s="27">
        <v>399923</v>
      </c>
      <c r="O23" s="27">
        <v>2210962</v>
      </c>
      <c r="P23" s="27">
        <v>66405</v>
      </c>
      <c r="Q23" s="27">
        <v>12854543</v>
      </c>
    </row>
    <row r="24" spans="1:17" ht="11" hidden="1" customHeight="1" outlineLevel="1" x14ac:dyDescent="0.3">
      <c r="A24" s="30" t="s">
        <v>138</v>
      </c>
      <c r="B24" s="28"/>
      <c r="C24" s="29"/>
      <c r="D24" s="28"/>
      <c r="E24" s="28"/>
      <c r="F24" s="27">
        <v>2874601</v>
      </c>
      <c r="G24" s="28"/>
      <c r="H24" s="27">
        <v>5590446</v>
      </c>
      <c r="I24" s="27">
        <v>1474821</v>
      </c>
      <c r="J24" s="27">
        <v>2820804</v>
      </c>
      <c r="K24" s="27">
        <v>20551468</v>
      </c>
      <c r="L24" s="27">
        <v>4442607</v>
      </c>
      <c r="M24" s="27">
        <v>4840961</v>
      </c>
      <c r="N24" s="27">
        <v>3741379</v>
      </c>
      <c r="O24" s="27">
        <v>3699828</v>
      </c>
      <c r="P24" s="27">
        <v>6278921</v>
      </c>
      <c r="Q24" s="27">
        <v>56315836</v>
      </c>
    </row>
    <row r="25" spans="1:17" ht="11" hidden="1" customHeight="1" outlineLevel="1" x14ac:dyDescent="0.3">
      <c r="A25" s="30" t="s">
        <v>144</v>
      </c>
      <c r="B25" s="27">
        <v>2846688</v>
      </c>
      <c r="C25" s="32">
        <v>6158800</v>
      </c>
      <c r="D25" s="27">
        <v>8351717</v>
      </c>
      <c r="E25" s="27">
        <v>6286323</v>
      </c>
      <c r="F25" s="28"/>
      <c r="G25" s="27">
        <v>143820</v>
      </c>
      <c r="H25" s="27">
        <v>943205</v>
      </c>
      <c r="I25" s="27">
        <v>8418726</v>
      </c>
      <c r="J25" s="27">
        <v>4299915</v>
      </c>
      <c r="K25" s="27">
        <v>912624</v>
      </c>
      <c r="L25" s="28"/>
      <c r="M25" s="28"/>
      <c r="N25" s="28"/>
      <c r="O25" s="28"/>
      <c r="P25" s="28"/>
      <c r="Q25" s="27">
        <v>38361819</v>
      </c>
    </row>
    <row r="26" spans="1:17" ht="11" hidden="1" customHeight="1" outlineLevel="1" x14ac:dyDescent="0.3">
      <c r="A26" s="30" t="s">
        <v>143</v>
      </c>
      <c r="B26" s="27">
        <v>231281</v>
      </c>
      <c r="C26" s="32">
        <v>673140</v>
      </c>
      <c r="D26" s="27">
        <v>101403</v>
      </c>
      <c r="E26" s="28"/>
      <c r="F26" s="28"/>
      <c r="G26" s="28"/>
      <c r="H26" s="28"/>
      <c r="I26" s="27">
        <v>2612687</v>
      </c>
      <c r="J26" s="28"/>
      <c r="K26" s="28"/>
      <c r="L26" s="28"/>
      <c r="M26" s="28"/>
      <c r="N26" s="27">
        <v>328944</v>
      </c>
      <c r="O26" s="27">
        <v>442594</v>
      </c>
      <c r="P26" s="27">
        <v>728168</v>
      </c>
      <c r="Q26" s="27">
        <v>5118216</v>
      </c>
    </row>
    <row r="27" spans="1:17" ht="11" hidden="1" customHeight="1" outlineLevel="1" x14ac:dyDescent="0.3">
      <c r="A27" s="30" t="s">
        <v>142</v>
      </c>
      <c r="B27" s="27">
        <v>53571</v>
      </c>
      <c r="C27" s="32">
        <v>53571</v>
      </c>
      <c r="D27" s="27">
        <v>26786</v>
      </c>
      <c r="E27" s="27">
        <v>26786</v>
      </c>
      <c r="F27" s="27">
        <v>36607</v>
      </c>
      <c r="G27" s="27">
        <v>26786</v>
      </c>
      <c r="H27" s="27">
        <v>26786</v>
      </c>
      <c r="I27" s="27">
        <v>26786</v>
      </c>
      <c r="J27" s="27">
        <v>26786</v>
      </c>
      <c r="K27" s="27">
        <v>26786</v>
      </c>
      <c r="L27" s="27">
        <v>26786</v>
      </c>
      <c r="M27" s="27">
        <v>26786</v>
      </c>
      <c r="N27" s="27">
        <v>25862</v>
      </c>
      <c r="O27" s="27">
        <v>25862</v>
      </c>
      <c r="P27" s="27">
        <v>25862</v>
      </c>
      <c r="Q27" s="27">
        <v>462408</v>
      </c>
    </row>
    <row r="28" spans="1:17" ht="11" hidden="1" customHeight="1" outlineLevel="1" x14ac:dyDescent="0.3">
      <c r="A28" s="30" t="s">
        <v>142</v>
      </c>
      <c r="B28" s="28"/>
      <c r="C28" s="29"/>
      <c r="D28" s="28"/>
      <c r="E28" s="27">
        <v>267857</v>
      </c>
      <c r="F28" s="27">
        <v>535714</v>
      </c>
      <c r="G28" s="27">
        <v>401786</v>
      </c>
      <c r="H28" s="27">
        <v>267857</v>
      </c>
      <c r="I28" s="27">
        <v>401786</v>
      </c>
      <c r="J28" s="27">
        <v>535714</v>
      </c>
      <c r="K28" s="27">
        <v>669643</v>
      </c>
      <c r="L28" s="27">
        <v>267857</v>
      </c>
      <c r="M28" s="27">
        <v>669643</v>
      </c>
      <c r="N28" s="27">
        <v>732759</v>
      </c>
      <c r="O28" s="27">
        <v>1025862</v>
      </c>
      <c r="P28" s="27">
        <v>1025862</v>
      </c>
      <c r="Q28" s="27">
        <v>6802340</v>
      </c>
    </row>
    <row r="29" spans="1:17" ht="11" hidden="1" customHeight="1" outlineLevel="1" x14ac:dyDescent="0.3">
      <c r="A29" s="30" t="s">
        <v>141</v>
      </c>
      <c r="B29" s="27">
        <v>26786</v>
      </c>
      <c r="C29" s="32">
        <v>776154</v>
      </c>
      <c r="D29" s="28"/>
      <c r="E29" s="28"/>
      <c r="F29" s="28"/>
      <c r="G29" s="28"/>
      <c r="H29" s="28"/>
      <c r="I29" s="27">
        <v>2002322</v>
      </c>
      <c r="J29" s="28"/>
      <c r="K29" s="28"/>
      <c r="L29" s="28"/>
      <c r="M29" s="28"/>
      <c r="N29" s="28"/>
      <c r="O29" s="28"/>
      <c r="P29" s="28"/>
      <c r="Q29" s="27">
        <v>2805262</v>
      </c>
    </row>
    <row r="30" spans="1:17" ht="11" customHeight="1" outlineLevel="1" x14ac:dyDescent="0.3">
      <c r="A30" s="30" t="s">
        <v>140</v>
      </c>
      <c r="B30" s="27">
        <v>7754911</v>
      </c>
      <c r="C30" s="32">
        <v>9795179</v>
      </c>
      <c r="D30" s="27">
        <v>12199196</v>
      </c>
      <c r="E30" s="27">
        <v>13544018</v>
      </c>
      <c r="F30" s="27">
        <v>18879375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7">
        <v>62172679</v>
      </c>
    </row>
    <row r="31" spans="1:17" ht="11" customHeight="1" outlineLevel="1" x14ac:dyDescent="0.3">
      <c r="A31" s="30" t="s">
        <v>140</v>
      </c>
      <c r="B31" s="27">
        <v>14028616</v>
      </c>
      <c r="C31" s="32">
        <v>23748839</v>
      </c>
      <c r="D31" s="27">
        <v>26234018</v>
      </c>
      <c r="E31" s="27">
        <v>25929147</v>
      </c>
      <c r="F31" s="27">
        <v>42256088</v>
      </c>
      <c r="G31" s="27">
        <v>41485147</v>
      </c>
      <c r="H31" s="27">
        <v>61040518</v>
      </c>
      <c r="I31" s="27">
        <v>40964330</v>
      </c>
      <c r="J31" s="27">
        <v>48164424</v>
      </c>
      <c r="K31" s="27">
        <v>51470912</v>
      </c>
      <c r="L31" s="27">
        <v>58670175</v>
      </c>
      <c r="M31" s="27">
        <v>55004958</v>
      </c>
      <c r="N31" s="27">
        <v>30447029</v>
      </c>
      <c r="O31" s="27">
        <v>26872491</v>
      </c>
      <c r="P31" s="27">
        <v>33285845</v>
      </c>
      <c r="Q31" s="27">
        <v>579602538</v>
      </c>
    </row>
    <row r="32" spans="1:17" ht="11" customHeight="1" outlineLevel="1" x14ac:dyDescent="0.3">
      <c r="A32" s="30" t="s">
        <v>139</v>
      </c>
      <c r="B32" s="28"/>
      <c r="C32" s="29"/>
      <c r="D32" s="28"/>
      <c r="E32" s="28"/>
      <c r="F32" s="28"/>
      <c r="G32" s="28"/>
      <c r="H32" s="28"/>
      <c r="I32" s="28"/>
      <c r="J32" s="27">
        <v>12000000</v>
      </c>
      <c r="K32" s="27">
        <v>16290000</v>
      </c>
      <c r="L32" s="28"/>
      <c r="M32" s="28"/>
      <c r="N32" s="28"/>
      <c r="O32" s="28"/>
      <c r="P32" s="28"/>
      <c r="Q32" s="27">
        <v>28290000</v>
      </c>
    </row>
    <row r="33" spans="1:17" ht="11" customHeight="1" outlineLevel="1" x14ac:dyDescent="0.3">
      <c r="A33" s="30" t="s">
        <v>139</v>
      </c>
      <c r="B33" s="28"/>
      <c r="C33" s="32">
        <v>7580000</v>
      </c>
      <c r="D33" s="28"/>
      <c r="E33" s="28"/>
      <c r="F33" s="28"/>
      <c r="G33" s="27">
        <v>12500000</v>
      </c>
      <c r="H33" s="28"/>
      <c r="I33" s="28"/>
      <c r="J33" s="28"/>
      <c r="K33" s="28"/>
      <c r="L33" s="28"/>
      <c r="M33" s="27">
        <v>45482143</v>
      </c>
      <c r="N33" s="28"/>
      <c r="O33" s="28"/>
      <c r="P33" s="28"/>
      <c r="Q33" s="27">
        <v>65562143</v>
      </c>
    </row>
    <row r="34" spans="1:17" ht="12.4" customHeight="1" x14ac:dyDescent="0.3">
      <c r="A34" s="26" t="s">
        <v>113</v>
      </c>
      <c r="B34" s="23">
        <v>49287837</v>
      </c>
      <c r="C34" s="35">
        <v>84661821</v>
      </c>
      <c r="D34" s="23">
        <v>77929827</v>
      </c>
      <c r="E34" s="23">
        <v>78492686</v>
      </c>
      <c r="F34" s="23">
        <v>99035542</v>
      </c>
      <c r="G34" s="23">
        <v>105693973</v>
      </c>
      <c r="H34" s="23">
        <v>98743414</v>
      </c>
      <c r="I34" s="23">
        <v>95120594</v>
      </c>
      <c r="J34" s="23">
        <v>97216586</v>
      </c>
      <c r="K34" s="23">
        <v>98208288</v>
      </c>
      <c r="L34" s="23">
        <v>104535092</v>
      </c>
      <c r="M34" s="23">
        <v>149016764</v>
      </c>
      <c r="N34" s="23">
        <v>93256092</v>
      </c>
      <c r="O34" s="23">
        <v>68475841</v>
      </c>
      <c r="P34" s="23">
        <v>64874772</v>
      </c>
      <c r="Q34" s="23">
        <v>1364549129</v>
      </c>
    </row>
    <row r="35" spans="1:17" ht="11" customHeight="1" outlineLevel="1" x14ac:dyDescent="0.3">
      <c r="A35" s="34"/>
      <c r="B35" s="28"/>
      <c r="C35" s="29"/>
      <c r="D35" s="27">
        <v>7500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7">
        <v>7500</v>
      </c>
    </row>
    <row r="36" spans="1:17" ht="11" customHeight="1" outlineLevel="1" x14ac:dyDescent="0.3">
      <c r="A36" s="30" t="s">
        <v>112</v>
      </c>
      <c r="B36" s="27">
        <v>4425242</v>
      </c>
      <c r="C36" s="32">
        <v>4151331</v>
      </c>
      <c r="D36" s="27">
        <v>5718843</v>
      </c>
      <c r="E36" s="27">
        <v>5440809</v>
      </c>
      <c r="F36" s="27">
        <v>5633346</v>
      </c>
      <c r="G36" s="27">
        <v>6168909</v>
      </c>
      <c r="H36" s="27">
        <v>9406323</v>
      </c>
      <c r="I36" s="27">
        <v>9687018</v>
      </c>
      <c r="J36" s="27">
        <v>8860862</v>
      </c>
      <c r="K36" s="27">
        <v>8355041</v>
      </c>
      <c r="L36" s="27">
        <v>8975712</v>
      </c>
      <c r="M36" s="27">
        <v>7818659</v>
      </c>
      <c r="N36" s="27">
        <v>7070590</v>
      </c>
      <c r="O36" s="27">
        <v>5474913</v>
      </c>
      <c r="P36" s="27">
        <v>7576161</v>
      </c>
      <c r="Q36" s="27">
        <v>104763758</v>
      </c>
    </row>
    <row r="37" spans="1:17" ht="11" customHeight="1" outlineLevel="1" x14ac:dyDescent="0.3">
      <c r="A37" s="30" t="s">
        <v>111</v>
      </c>
      <c r="B37" s="27">
        <v>380000</v>
      </c>
      <c r="C37" s="32">
        <v>280000</v>
      </c>
      <c r="D37" s="27">
        <v>1200000</v>
      </c>
      <c r="E37" s="27">
        <v>280000</v>
      </c>
      <c r="F37" s="27">
        <v>460000</v>
      </c>
      <c r="G37" s="27">
        <v>100000</v>
      </c>
      <c r="H37" s="27">
        <v>745000</v>
      </c>
      <c r="I37" s="27">
        <v>1292000</v>
      </c>
      <c r="J37" s="27">
        <v>1975000</v>
      </c>
      <c r="K37" s="28"/>
      <c r="L37" s="27">
        <v>1740000</v>
      </c>
      <c r="M37" s="27">
        <v>730000</v>
      </c>
      <c r="N37" s="27">
        <v>1640000</v>
      </c>
      <c r="O37" s="27">
        <v>160000</v>
      </c>
      <c r="P37" s="27">
        <v>675000</v>
      </c>
      <c r="Q37" s="27">
        <v>11657000</v>
      </c>
    </row>
    <row r="38" spans="1:17" ht="11" customHeight="1" outlineLevel="1" x14ac:dyDescent="0.3">
      <c r="A38" s="30" t="s">
        <v>110</v>
      </c>
      <c r="B38" s="27">
        <v>1184395</v>
      </c>
      <c r="C38" s="32">
        <v>745413</v>
      </c>
      <c r="D38" s="27">
        <v>135669</v>
      </c>
      <c r="E38" s="27">
        <v>314545</v>
      </c>
      <c r="F38" s="27">
        <v>1171611</v>
      </c>
      <c r="G38" s="27">
        <v>396431</v>
      </c>
      <c r="H38" s="27">
        <v>4673895</v>
      </c>
      <c r="I38" s="27">
        <v>511676</v>
      </c>
      <c r="J38" s="27">
        <v>4744391</v>
      </c>
      <c r="K38" s="27">
        <v>2951049</v>
      </c>
      <c r="L38" s="27">
        <v>3620358</v>
      </c>
      <c r="M38" s="27">
        <v>4977003</v>
      </c>
      <c r="N38" s="27">
        <v>5016690</v>
      </c>
      <c r="O38" s="27">
        <v>4219419</v>
      </c>
      <c r="P38" s="27">
        <v>2331053</v>
      </c>
      <c r="Q38" s="27">
        <v>36993597</v>
      </c>
    </row>
    <row r="39" spans="1:17" ht="11" customHeight="1" outlineLevel="1" x14ac:dyDescent="0.3">
      <c r="A39" s="30" t="s">
        <v>109</v>
      </c>
      <c r="B39" s="28"/>
      <c r="C39" s="29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7">
        <v>113793</v>
      </c>
      <c r="P39" s="28"/>
      <c r="Q39" s="27">
        <v>113793</v>
      </c>
    </row>
    <row r="40" spans="1:17" ht="11" customHeight="1" outlineLevel="1" x14ac:dyDescent="0.3">
      <c r="A40" s="30" t="s">
        <v>108</v>
      </c>
      <c r="B40" s="27">
        <v>2067286</v>
      </c>
      <c r="C40" s="32">
        <v>1410228</v>
      </c>
      <c r="D40" s="27">
        <v>1645664</v>
      </c>
      <c r="E40" s="27">
        <v>2632792</v>
      </c>
      <c r="F40" s="27">
        <v>6210812</v>
      </c>
      <c r="G40" s="27">
        <v>4089598</v>
      </c>
      <c r="H40" s="27">
        <v>1373106</v>
      </c>
      <c r="I40" s="27">
        <v>1830491</v>
      </c>
      <c r="J40" s="27">
        <v>2760301</v>
      </c>
      <c r="K40" s="27">
        <v>453203</v>
      </c>
      <c r="L40" s="27">
        <v>2010277</v>
      </c>
      <c r="M40" s="27">
        <v>2343694</v>
      </c>
      <c r="N40" s="27">
        <v>1122554</v>
      </c>
      <c r="O40" s="27">
        <v>2253873</v>
      </c>
      <c r="P40" s="27">
        <v>371583</v>
      </c>
      <c r="Q40" s="27">
        <v>32575460</v>
      </c>
    </row>
    <row r="41" spans="1:17" ht="11" customHeight="1" outlineLevel="1" x14ac:dyDescent="0.3">
      <c r="A41" s="30" t="s">
        <v>107</v>
      </c>
      <c r="B41" s="27">
        <v>4208469</v>
      </c>
      <c r="C41" s="32">
        <v>4194390</v>
      </c>
      <c r="D41" s="27">
        <v>3983288</v>
      </c>
      <c r="E41" s="27">
        <v>4490843</v>
      </c>
      <c r="F41" s="27">
        <v>4506529</v>
      </c>
      <c r="G41" s="27">
        <v>4513246</v>
      </c>
      <c r="H41" s="27">
        <v>3845453</v>
      </c>
      <c r="I41" s="27">
        <v>3860638</v>
      </c>
      <c r="J41" s="27">
        <v>3725585</v>
      </c>
      <c r="K41" s="27">
        <v>3796732</v>
      </c>
      <c r="L41" s="27">
        <v>3771379</v>
      </c>
      <c r="M41" s="27">
        <v>4207610</v>
      </c>
      <c r="N41" s="27">
        <v>2575351</v>
      </c>
      <c r="O41" s="27">
        <v>2573328</v>
      </c>
      <c r="P41" s="27">
        <v>2572377</v>
      </c>
      <c r="Q41" s="27">
        <v>56825219</v>
      </c>
    </row>
    <row r="42" spans="1:17" ht="11" customHeight="1" outlineLevel="1" x14ac:dyDescent="0.3">
      <c r="A42" s="30" t="s">
        <v>106</v>
      </c>
      <c r="B42" s="27">
        <v>2118914</v>
      </c>
      <c r="C42" s="32">
        <v>2118914</v>
      </c>
      <c r="D42" s="27">
        <v>3175714</v>
      </c>
      <c r="E42" s="27">
        <v>3175714</v>
      </c>
      <c r="F42" s="27">
        <v>3175714</v>
      </c>
      <c r="G42" s="27">
        <v>3175714</v>
      </c>
      <c r="H42" s="27">
        <v>3175714</v>
      </c>
      <c r="I42" s="27">
        <v>3175714</v>
      </c>
      <c r="J42" s="27">
        <v>3175714</v>
      </c>
      <c r="K42" s="27">
        <v>3175714</v>
      </c>
      <c r="L42" s="27">
        <v>3175714</v>
      </c>
      <c r="M42" s="27">
        <v>3175714</v>
      </c>
      <c r="N42" s="27">
        <v>2858621</v>
      </c>
      <c r="O42" s="27">
        <v>2858621</v>
      </c>
      <c r="P42" s="27">
        <v>2858621</v>
      </c>
      <c r="Q42" s="27">
        <v>44570833</v>
      </c>
    </row>
    <row r="43" spans="1:17" ht="11" customHeight="1" outlineLevel="1" x14ac:dyDescent="0.3">
      <c r="A43" s="30" t="s">
        <v>105</v>
      </c>
      <c r="B43" s="27">
        <v>144469</v>
      </c>
      <c r="C43" s="29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>
        <v>144469</v>
      </c>
    </row>
    <row r="44" spans="1:17" ht="11" customHeight="1" outlineLevel="1" x14ac:dyDescent="0.3">
      <c r="A44" s="30" t="s">
        <v>104</v>
      </c>
      <c r="B44" s="27">
        <v>56796</v>
      </c>
      <c r="C44" s="32">
        <v>54536</v>
      </c>
      <c r="D44" s="27">
        <v>24642</v>
      </c>
      <c r="E44" s="27">
        <v>59589</v>
      </c>
      <c r="F44" s="27">
        <v>68907</v>
      </c>
      <c r="G44" s="27">
        <v>26636</v>
      </c>
      <c r="H44" s="27">
        <v>36055</v>
      </c>
      <c r="I44" s="27">
        <v>53055</v>
      </c>
      <c r="J44" s="27">
        <v>161119</v>
      </c>
      <c r="K44" s="27">
        <v>74495</v>
      </c>
      <c r="L44" s="27">
        <v>27901</v>
      </c>
      <c r="M44" s="27">
        <v>40864</v>
      </c>
      <c r="N44" s="27">
        <v>61405</v>
      </c>
      <c r="O44" s="27">
        <v>26543</v>
      </c>
      <c r="P44" s="27">
        <v>16322</v>
      </c>
      <c r="Q44" s="27">
        <v>788866</v>
      </c>
    </row>
    <row r="45" spans="1:17" ht="11" customHeight="1" outlineLevel="1" x14ac:dyDescent="0.3">
      <c r="A45" s="30" t="s">
        <v>103</v>
      </c>
      <c r="B45" s="27">
        <v>114437</v>
      </c>
      <c r="C45" s="32">
        <v>105580</v>
      </c>
      <c r="D45" s="27">
        <v>140982</v>
      </c>
      <c r="E45" s="27">
        <v>203268</v>
      </c>
      <c r="F45" s="27">
        <v>169462</v>
      </c>
      <c r="G45" s="27">
        <v>147583</v>
      </c>
      <c r="H45" s="27">
        <v>114107</v>
      </c>
      <c r="I45" s="27">
        <v>295205</v>
      </c>
      <c r="J45" s="27">
        <v>236679</v>
      </c>
      <c r="K45" s="27">
        <v>161964</v>
      </c>
      <c r="L45" s="27">
        <v>233750</v>
      </c>
      <c r="M45" s="27">
        <v>157946</v>
      </c>
      <c r="N45" s="27">
        <v>209585</v>
      </c>
      <c r="O45" s="27">
        <v>107500</v>
      </c>
      <c r="P45" s="27">
        <v>14784</v>
      </c>
      <c r="Q45" s="27">
        <v>2412835</v>
      </c>
    </row>
    <row r="46" spans="1:17" ht="11" customHeight="1" outlineLevel="1" x14ac:dyDescent="0.3">
      <c r="A46" s="30" t="s">
        <v>102</v>
      </c>
      <c r="B46" s="28"/>
      <c r="C46" s="29"/>
      <c r="D46" s="28"/>
      <c r="E46" s="28"/>
      <c r="F46" s="27">
        <v>52365</v>
      </c>
      <c r="G46" s="27">
        <v>55126</v>
      </c>
      <c r="H46" s="27">
        <v>64914</v>
      </c>
      <c r="I46" s="27">
        <v>64914</v>
      </c>
      <c r="J46" s="27">
        <v>887021</v>
      </c>
      <c r="K46" s="27">
        <v>381648</v>
      </c>
      <c r="L46" s="27">
        <v>611646</v>
      </c>
      <c r="M46" s="27">
        <v>296281</v>
      </c>
      <c r="N46" s="27">
        <v>747269</v>
      </c>
      <c r="O46" s="27">
        <v>624524</v>
      </c>
      <c r="P46" s="27">
        <v>419526</v>
      </c>
      <c r="Q46" s="27">
        <v>4205234</v>
      </c>
    </row>
    <row r="47" spans="1:17" ht="11" customHeight="1" outlineLevel="1" x14ac:dyDescent="0.3">
      <c r="A47" s="30" t="s">
        <v>101</v>
      </c>
      <c r="B47" s="28"/>
      <c r="C47" s="32">
        <v>19276786</v>
      </c>
      <c r="D47" s="27">
        <v>23136349</v>
      </c>
      <c r="E47" s="27">
        <v>23235714</v>
      </c>
      <c r="F47" s="27">
        <v>23235714</v>
      </c>
      <c r="G47" s="27">
        <v>23235714</v>
      </c>
      <c r="H47" s="27">
        <v>23235714</v>
      </c>
      <c r="I47" s="27">
        <v>23235714</v>
      </c>
      <c r="J47" s="27">
        <v>4464286</v>
      </c>
      <c r="K47" s="27">
        <v>4464286</v>
      </c>
      <c r="L47" s="27">
        <v>4464286</v>
      </c>
      <c r="M47" s="27">
        <v>4464286</v>
      </c>
      <c r="N47" s="27">
        <v>4310345</v>
      </c>
      <c r="O47" s="27">
        <v>4310345</v>
      </c>
      <c r="P47" s="27">
        <v>4310345</v>
      </c>
      <c r="Q47" s="27">
        <v>189379884</v>
      </c>
    </row>
    <row r="48" spans="1:17" ht="11" customHeight="1" outlineLevel="1" x14ac:dyDescent="0.3">
      <c r="A48" s="30" t="s">
        <v>100</v>
      </c>
      <c r="B48" s="27">
        <v>39866</v>
      </c>
      <c r="C48" s="32">
        <v>161732</v>
      </c>
      <c r="D48" s="27">
        <v>19081</v>
      </c>
      <c r="E48" s="27">
        <v>124814</v>
      </c>
      <c r="F48" s="27">
        <v>58948</v>
      </c>
      <c r="G48" s="27">
        <v>58948</v>
      </c>
      <c r="H48" s="27">
        <v>94493</v>
      </c>
      <c r="I48" s="27">
        <v>123396</v>
      </c>
      <c r="J48" s="27">
        <v>83948</v>
      </c>
      <c r="K48" s="27">
        <v>176784</v>
      </c>
      <c r="L48" s="27">
        <v>58948</v>
      </c>
      <c r="M48" s="27">
        <v>170577</v>
      </c>
      <c r="N48" s="27">
        <v>274500</v>
      </c>
      <c r="O48" s="27">
        <v>1824041</v>
      </c>
      <c r="P48" s="27">
        <v>1488426</v>
      </c>
      <c r="Q48" s="27">
        <v>4758501</v>
      </c>
    </row>
    <row r="49" spans="1:17" ht="11" customHeight="1" outlineLevel="1" x14ac:dyDescent="0.3">
      <c r="A49" s="30" t="s">
        <v>99</v>
      </c>
      <c r="B49" s="28"/>
      <c r="C49" s="29"/>
      <c r="D49" s="27">
        <v>137000</v>
      </c>
      <c r="E49" s="27">
        <v>10000</v>
      </c>
      <c r="F49" s="27">
        <v>47321</v>
      </c>
      <c r="G49" s="28"/>
      <c r="H49" s="27">
        <v>167366</v>
      </c>
      <c r="I49" s="28"/>
      <c r="J49" s="28"/>
      <c r="K49" s="28"/>
      <c r="L49" s="28"/>
      <c r="M49" s="28"/>
      <c r="N49" s="28"/>
      <c r="O49" s="28"/>
      <c r="P49" s="28"/>
      <c r="Q49" s="27">
        <v>361687</v>
      </c>
    </row>
    <row r="50" spans="1:17" ht="11" customHeight="1" outlineLevel="1" x14ac:dyDescent="0.3">
      <c r="A50" s="30" t="s">
        <v>98</v>
      </c>
      <c r="B50" s="28"/>
      <c r="C50" s="29"/>
      <c r="D50" s="28"/>
      <c r="E50" s="28"/>
      <c r="F50" s="28"/>
      <c r="G50" s="28"/>
      <c r="H50" s="28"/>
      <c r="I50" s="28"/>
      <c r="J50" s="28"/>
      <c r="K50" s="28"/>
      <c r="L50" s="28"/>
      <c r="M50" s="27">
        <v>88100</v>
      </c>
      <c r="N50" s="27">
        <v>174950</v>
      </c>
      <c r="O50" s="27">
        <v>100000</v>
      </c>
      <c r="P50" s="27">
        <v>100000</v>
      </c>
      <c r="Q50" s="27">
        <v>463050</v>
      </c>
    </row>
    <row r="51" spans="1:17" ht="11" customHeight="1" outlineLevel="1" x14ac:dyDescent="0.3">
      <c r="A51" s="30" t="s">
        <v>97</v>
      </c>
      <c r="B51" s="28"/>
      <c r="C51" s="29"/>
      <c r="D51" s="28"/>
      <c r="E51" s="28"/>
      <c r="F51" s="28"/>
      <c r="G51" s="28"/>
      <c r="H51" s="28"/>
      <c r="I51" s="28"/>
      <c r="J51" s="28"/>
      <c r="K51" s="28"/>
      <c r="L51" s="28"/>
      <c r="M51" s="27">
        <v>12398</v>
      </c>
      <c r="N51" s="28"/>
      <c r="O51" s="28"/>
      <c r="P51" s="28"/>
      <c r="Q51" s="27">
        <v>12398</v>
      </c>
    </row>
    <row r="52" spans="1:17" ht="11" customHeight="1" outlineLevel="1" x14ac:dyDescent="0.3">
      <c r="A52" s="30" t="s">
        <v>96</v>
      </c>
      <c r="B52" s="28"/>
      <c r="C52" s="29"/>
      <c r="D52" s="28"/>
      <c r="E52" s="28"/>
      <c r="F52" s="28"/>
      <c r="G52" s="28"/>
      <c r="H52" s="28"/>
      <c r="I52" s="28"/>
      <c r="J52" s="28"/>
      <c r="K52" s="28"/>
      <c r="L52" s="28"/>
      <c r="M52" s="27">
        <v>127819</v>
      </c>
      <c r="N52" s="28"/>
      <c r="O52" s="28"/>
      <c r="P52" s="28"/>
      <c r="Q52" s="27">
        <v>127819</v>
      </c>
    </row>
    <row r="53" spans="1:17" ht="11" customHeight="1" outlineLevel="1" x14ac:dyDescent="0.3">
      <c r="A53" s="30" t="s">
        <v>95</v>
      </c>
      <c r="B53" s="28"/>
      <c r="C53" s="29"/>
      <c r="D53" s="27">
        <v>700156</v>
      </c>
      <c r="E53" s="28"/>
      <c r="F53" s="28"/>
      <c r="G53" s="27">
        <v>88557</v>
      </c>
      <c r="H53" s="28"/>
      <c r="I53" s="28"/>
      <c r="J53" s="27">
        <v>774490</v>
      </c>
      <c r="K53" s="28"/>
      <c r="L53" s="28"/>
      <c r="M53" s="27">
        <v>2514414</v>
      </c>
      <c r="N53" s="28"/>
      <c r="O53" s="28"/>
      <c r="P53" s="28"/>
      <c r="Q53" s="27">
        <v>4077617</v>
      </c>
    </row>
    <row r="54" spans="1:17" ht="11" customHeight="1" outlineLevel="1" x14ac:dyDescent="0.3">
      <c r="A54" s="30" t="s">
        <v>94</v>
      </c>
      <c r="B54" s="28"/>
      <c r="C54" s="29"/>
      <c r="D54" s="28"/>
      <c r="E54" s="28"/>
      <c r="F54" s="27">
        <v>37500</v>
      </c>
      <c r="G54" s="28"/>
      <c r="H54" s="27">
        <v>91071</v>
      </c>
      <c r="I54" s="28"/>
      <c r="J54" s="28"/>
      <c r="K54" s="27">
        <v>48214</v>
      </c>
      <c r="L54" s="27">
        <v>37500</v>
      </c>
      <c r="M54" s="28"/>
      <c r="N54" s="28"/>
      <c r="O54" s="28"/>
      <c r="P54" s="28"/>
      <c r="Q54" s="27">
        <v>214286</v>
      </c>
    </row>
    <row r="55" spans="1:17" ht="11" customHeight="1" outlineLevel="1" x14ac:dyDescent="0.3">
      <c r="A55" s="30" t="s">
        <v>93</v>
      </c>
      <c r="B55" s="27">
        <v>545300</v>
      </c>
      <c r="C55" s="32">
        <v>597668</v>
      </c>
      <c r="D55" s="27">
        <v>610180</v>
      </c>
      <c r="E55" s="27">
        <v>607725</v>
      </c>
      <c r="F55" s="27">
        <v>725118</v>
      </c>
      <c r="G55" s="27">
        <v>761100</v>
      </c>
      <c r="H55" s="27">
        <v>736156</v>
      </c>
      <c r="I55" s="27">
        <v>791612</v>
      </c>
      <c r="J55" s="27">
        <v>808700</v>
      </c>
      <c r="K55" s="27">
        <v>849442</v>
      </c>
      <c r="L55" s="27">
        <v>940540</v>
      </c>
      <c r="M55" s="27">
        <v>976225</v>
      </c>
      <c r="N55" s="27">
        <v>1449714</v>
      </c>
      <c r="O55" s="27">
        <v>973714</v>
      </c>
      <c r="P55" s="27">
        <v>911889</v>
      </c>
      <c r="Q55" s="27">
        <v>12285083</v>
      </c>
    </row>
    <row r="56" spans="1:17" ht="11" customHeight="1" outlineLevel="1" x14ac:dyDescent="0.3">
      <c r="A56" s="30" t="s">
        <v>92</v>
      </c>
      <c r="B56" s="27">
        <v>21852681</v>
      </c>
      <c r="C56" s="32">
        <v>23683945</v>
      </c>
      <c r="D56" s="27">
        <v>24793875</v>
      </c>
      <c r="E56" s="27">
        <v>23685872</v>
      </c>
      <c r="F56" s="27">
        <v>27873975</v>
      </c>
      <c r="G56" s="27">
        <v>29878997</v>
      </c>
      <c r="H56" s="27">
        <v>28314068</v>
      </c>
      <c r="I56" s="27">
        <v>30505728</v>
      </c>
      <c r="J56" s="27">
        <v>30749879</v>
      </c>
      <c r="K56" s="27">
        <v>32190595</v>
      </c>
      <c r="L56" s="27">
        <v>35637146</v>
      </c>
      <c r="M56" s="27">
        <v>37094957</v>
      </c>
      <c r="N56" s="27">
        <v>40312964</v>
      </c>
      <c r="O56" s="27">
        <v>27148915</v>
      </c>
      <c r="P56" s="27">
        <v>25039435</v>
      </c>
      <c r="Q56" s="27">
        <v>438763032</v>
      </c>
    </row>
    <row r="57" spans="1:17" ht="11" customHeight="1" outlineLevel="1" x14ac:dyDescent="0.3">
      <c r="A57" s="30" t="s">
        <v>91</v>
      </c>
      <c r="B57" s="27">
        <v>573242</v>
      </c>
      <c r="C57" s="32">
        <v>611564</v>
      </c>
      <c r="D57" s="27">
        <v>644122</v>
      </c>
      <c r="E57" s="27">
        <v>650652</v>
      </c>
      <c r="F57" s="27">
        <v>747194</v>
      </c>
      <c r="G57" s="27">
        <v>763398</v>
      </c>
      <c r="H57" s="27">
        <v>785067</v>
      </c>
      <c r="I57" s="27">
        <v>794792</v>
      </c>
      <c r="J57" s="27">
        <v>783813</v>
      </c>
      <c r="K57" s="27">
        <v>790303</v>
      </c>
      <c r="L57" s="27">
        <v>836156</v>
      </c>
      <c r="M57" s="27">
        <v>793433</v>
      </c>
      <c r="N57" s="27">
        <v>1100492</v>
      </c>
      <c r="O57" s="27">
        <v>755650</v>
      </c>
      <c r="P57" s="27">
        <v>695336</v>
      </c>
      <c r="Q57" s="27">
        <v>11325214</v>
      </c>
    </row>
    <row r="58" spans="1:17" ht="11" customHeight="1" outlineLevel="1" x14ac:dyDescent="0.3">
      <c r="A58" s="30" t="s">
        <v>90</v>
      </c>
      <c r="B58" s="28"/>
      <c r="C58" s="29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7">
        <v>50400</v>
      </c>
      <c r="O58" s="28"/>
      <c r="P58" s="28"/>
      <c r="Q58" s="27">
        <v>50400</v>
      </c>
    </row>
    <row r="59" spans="1:17" ht="11" customHeight="1" outlineLevel="1" x14ac:dyDescent="0.3">
      <c r="A59" s="30" t="s">
        <v>89</v>
      </c>
      <c r="B59" s="27">
        <v>41708</v>
      </c>
      <c r="C59" s="32">
        <v>41708</v>
      </c>
      <c r="D59" s="27">
        <v>41708</v>
      </c>
      <c r="E59" s="27">
        <v>41708</v>
      </c>
      <c r="F59" s="27">
        <v>41708</v>
      </c>
      <c r="G59" s="27">
        <v>41708</v>
      </c>
      <c r="H59" s="27">
        <v>41708</v>
      </c>
      <c r="I59" s="27">
        <v>41708</v>
      </c>
      <c r="J59" s="27">
        <v>41708</v>
      </c>
      <c r="K59" s="27">
        <v>41708</v>
      </c>
      <c r="L59" s="27">
        <v>33220</v>
      </c>
      <c r="M59" s="27">
        <v>1658</v>
      </c>
      <c r="N59" s="27">
        <v>1658</v>
      </c>
      <c r="O59" s="27">
        <v>1658</v>
      </c>
      <c r="P59" s="27">
        <v>129417</v>
      </c>
      <c r="Q59" s="27">
        <v>584693</v>
      </c>
    </row>
    <row r="60" spans="1:17" ht="11" customHeight="1" outlineLevel="1" x14ac:dyDescent="0.3">
      <c r="A60" s="30" t="s">
        <v>88</v>
      </c>
      <c r="B60" s="28"/>
      <c r="C60" s="29"/>
      <c r="D60" s="28"/>
      <c r="E60" s="27">
        <v>17474</v>
      </c>
      <c r="F60" s="27">
        <v>51358</v>
      </c>
      <c r="G60" s="27">
        <v>8720</v>
      </c>
      <c r="H60" s="27">
        <v>153601</v>
      </c>
      <c r="I60" s="27">
        <v>611716</v>
      </c>
      <c r="J60" s="27">
        <v>290850</v>
      </c>
      <c r="K60" s="27">
        <v>205759</v>
      </c>
      <c r="L60" s="27">
        <v>227207</v>
      </c>
      <c r="M60" s="27">
        <v>805330</v>
      </c>
      <c r="N60" s="27">
        <v>151221</v>
      </c>
      <c r="O60" s="27">
        <v>112712</v>
      </c>
      <c r="P60" s="27">
        <v>111239</v>
      </c>
      <c r="Q60" s="27">
        <v>2747188</v>
      </c>
    </row>
    <row r="61" spans="1:17" ht="11" customHeight="1" outlineLevel="1" x14ac:dyDescent="0.3">
      <c r="A61" s="30" t="s">
        <v>87</v>
      </c>
      <c r="B61" s="28"/>
      <c r="C61" s="32">
        <v>32000</v>
      </c>
      <c r="D61" s="27">
        <v>218785</v>
      </c>
      <c r="E61" s="33">
        <v>-81759</v>
      </c>
      <c r="F61" s="27">
        <v>52946</v>
      </c>
      <c r="G61" s="27">
        <v>22355</v>
      </c>
      <c r="H61" s="28"/>
      <c r="I61" s="28"/>
      <c r="J61" s="27">
        <v>24391</v>
      </c>
      <c r="K61" s="27">
        <v>21213</v>
      </c>
      <c r="L61" s="27">
        <v>81821</v>
      </c>
      <c r="M61" s="27">
        <v>86971</v>
      </c>
      <c r="N61" s="28"/>
      <c r="O61" s="28"/>
      <c r="P61" s="28"/>
      <c r="Q61" s="27">
        <v>458723</v>
      </c>
    </row>
    <row r="62" spans="1:17" ht="11" customHeight="1" outlineLevel="1" x14ac:dyDescent="0.3">
      <c r="A62" s="30" t="s">
        <v>86</v>
      </c>
      <c r="B62" s="28"/>
      <c r="C62" s="29"/>
      <c r="D62" s="28"/>
      <c r="E62" s="27">
        <v>159840</v>
      </c>
      <c r="F62" s="27">
        <v>99000</v>
      </c>
      <c r="G62" s="27">
        <v>304000</v>
      </c>
      <c r="H62" s="28"/>
      <c r="I62" s="27">
        <v>60000</v>
      </c>
      <c r="J62" s="27">
        <v>90000</v>
      </c>
      <c r="K62" s="27">
        <v>105000</v>
      </c>
      <c r="L62" s="28"/>
      <c r="M62" s="27">
        <v>144000</v>
      </c>
      <c r="N62" s="27">
        <v>50000</v>
      </c>
      <c r="O62" s="27">
        <v>112069</v>
      </c>
      <c r="P62" s="27">
        <v>112069</v>
      </c>
      <c r="Q62" s="27">
        <v>1235978</v>
      </c>
    </row>
    <row r="63" spans="1:17" ht="11" customHeight="1" outlineLevel="1" x14ac:dyDescent="0.3">
      <c r="A63" s="30" t="s">
        <v>85</v>
      </c>
      <c r="B63" s="27">
        <v>1380</v>
      </c>
      <c r="C63" s="29"/>
      <c r="D63" s="28"/>
      <c r="E63" s="27">
        <v>4078</v>
      </c>
      <c r="F63" s="27">
        <v>4078</v>
      </c>
      <c r="G63" s="27">
        <v>4078</v>
      </c>
      <c r="H63" s="27">
        <v>4078</v>
      </c>
      <c r="I63" s="27">
        <v>4078</v>
      </c>
      <c r="J63" s="27">
        <v>4078</v>
      </c>
      <c r="K63" s="27">
        <v>4078</v>
      </c>
      <c r="L63" s="27">
        <v>82972</v>
      </c>
      <c r="M63" s="27">
        <v>5000146</v>
      </c>
      <c r="N63" s="28"/>
      <c r="O63" s="28"/>
      <c r="P63" s="27">
        <v>323000</v>
      </c>
      <c r="Q63" s="27">
        <v>5436042</v>
      </c>
    </row>
    <row r="64" spans="1:17" ht="11" customHeight="1" outlineLevel="1" x14ac:dyDescent="0.3">
      <c r="A64" s="30" t="s">
        <v>84</v>
      </c>
      <c r="B64" s="31">
        <v>18</v>
      </c>
      <c r="C64" s="32">
        <v>1160000</v>
      </c>
      <c r="D64" s="28"/>
      <c r="E64" s="27">
        <v>23877</v>
      </c>
      <c r="F64" s="27">
        <v>2179</v>
      </c>
      <c r="G64" s="27">
        <v>113000</v>
      </c>
      <c r="H64" s="31">
        <v>563</v>
      </c>
      <c r="I64" s="28"/>
      <c r="J64" s="31">
        <v>357</v>
      </c>
      <c r="K64" s="28"/>
      <c r="L64" s="28"/>
      <c r="M64" s="27">
        <v>2027274</v>
      </c>
      <c r="N64" s="31">
        <v>484</v>
      </c>
      <c r="O64" s="28"/>
      <c r="P64" s="31">
        <v>364</v>
      </c>
      <c r="Q64" s="27">
        <v>3328116</v>
      </c>
    </row>
    <row r="65" spans="1:17" ht="11" customHeight="1" outlineLevel="1" x14ac:dyDescent="0.3">
      <c r="A65" s="30" t="s">
        <v>83</v>
      </c>
      <c r="B65" s="28"/>
      <c r="C65" s="29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7">
        <v>840319</v>
      </c>
      <c r="O65" s="27">
        <v>118000</v>
      </c>
      <c r="P65" s="28"/>
      <c r="Q65" s="27">
        <v>958319</v>
      </c>
    </row>
    <row r="66" spans="1:17" ht="11" customHeight="1" outlineLevel="1" x14ac:dyDescent="0.3">
      <c r="A66" s="30" t="s">
        <v>82</v>
      </c>
      <c r="B66" s="28"/>
      <c r="C66" s="29"/>
      <c r="D66" s="27">
        <v>32392</v>
      </c>
      <c r="E66" s="27">
        <v>64784</v>
      </c>
      <c r="F66" s="27">
        <v>70622</v>
      </c>
      <c r="G66" s="27">
        <v>148020</v>
      </c>
      <c r="H66" s="27">
        <v>105822</v>
      </c>
      <c r="I66" s="27">
        <v>142520</v>
      </c>
      <c r="J66" s="27">
        <v>111750</v>
      </c>
      <c r="K66" s="27">
        <v>167348</v>
      </c>
      <c r="L66" s="28"/>
      <c r="M66" s="27">
        <v>293568</v>
      </c>
      <c r="N66" s="27">
        <v>157638</v>
      </c>
      <c r="O66" s="27">
        <v>183480</v>
      </c>
      <c r="P66" s="27">
        <v>193385</v>
      </c>
      <c r="Q66" s="27">
        <v>1671329</v>
      </c>
    </row>
    <row r="67" spans="1:17" ht="11" customHeight="1" outlineLevel="1" x14ac:dyDescent="0.3">
      <c r="A67" s="30" t="s">
        <v>81</v>
      </c>
      <c r="B67" s="28"/>
      <c r="C67" s="32">
        <v>53571</v>
      </c>
      <c r="D67" s="28"/>
      <c r="E67" s="28"/>
      <c r="F67" s="28"/>
      <c r="G67" s="28"/>
      <c r="H67" s="28"/>
      <c r="I67" s="28"/>
      <c r="J67" s="27">
        <v>519697</v>
      </c>
      <c r="K67" s="28"/>
      <c r="L67" s="28"/>
      <c r="M67" s="28"/>
      <c r="N67" s="28"/>
      <c r="O67" s="28"/>
      <c r="P67" s="28"/>
      <c r="Q67" s="27">
        <v>573268</v>
      </c>
    </row>
    <row r="68" spans="1:17" ht="11" customHeight="1" outlineLevel="1" x14ac:dyDescent="0.3">
      <c r="A68" s="30" t="s">
        <v>80</v>
      </c>
      <c r="B68" s="28"/>
      <c r="C68" s="29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7">
        <v>67100</v>
      </c>
      <c r="Q68" s="27">
        <v>67100</v>
      </c>
    </row>
    <row r="69" spans="1:17" ht="11" customHeight="1" outlineLevel="1" x14ac:dyDescent="0.3">
      <c r="A69" s="30" t="s">
        <v>79</v>
      </c>
      <c r="B69" s="27">
        <v>97859</v>
      </c>
      <c r="C69" s="29"/>
      <c r="D69" s="28"/>
      <c r="E69" s="27">
        <v>96074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7">
        <v>193933</v>
      </c>
    </row>
    <row r="70" spans="1:17" ht="11" customHeight="1" outlineLevel="1" x14ac:dyDescent="0.3">
      <c r="A70" s="30" t="s">
        <v>78</v>
      </c>
      <c r="B70" s="27">
        <v>76257</v>
      </c>
      <c r="C70" s="29"/>
      <c r="D70" s="27">
        <v>88396</v>
      </c>
      <c r="E70" s="27">
        <v>99016</v>
      </c>
      <c r="F70" s="27">
        <v>174179</v>
      </c>
      <c r="G70" s="27">
        <v>77849</v>
      </c>
      <c r="H70" s="27">
        <v>118393</v>
      </c>
      <c r="I70" s="27">
        <v>179866</v>
      </c>
      <c r="J70" s="27">
        <v>48779</v>
      </c>
      <c r="K70" s="27">
        <v>65737</v>
      </c>
      <c r="L70" s="27">
        <v>181180</v>
      </c>
      <c r="M70" s="28"/>
      <c r="N70" s="27">
        <v>82059</v>
      </c>
      <c r="O70" s="27">
        <v>56309</v>
      </c>
      <c r="P70" s="27">
        <v>117013</v>
      </c>
      <c r="Q70" s="27">
        <v>1365033</v>
      </c>
    </row>
    <row r="71" spans="1:17" ht="11" customHeight="1" outlineLevel="1" x14ac:dyDescent="0.3">
      <c r="A71" s="30" t="s">
        <v>77</v>
      </c>
      <c r="B71" s="28"/>
      <c r="C71" s="29"/>
      <c r="D71" s="28"/>
      <c r="E71" s="28"/>
      <c r="F71" s="28"/>
      <c r="G71" s="28"/>
      <c r="H71" s="28"/>
      <c r="I71" s="27">
        <v>12761</v>
      </c>
      <c r="J71" s="28"/>
      <c r="K71" s="28"/>
      <c r="L71" s="28"/>
      <c r="M71" s="28"/>
      <c r="N71" s="28"/>
      <c r="O71" s="28"/>
      <c r="P71" s="28"/>
      <c r="Q71" s="27">
        <v>12761</v>
      </c>
    </row>
    <row r="72" spans="1:17" ht="11" customHeight="1" outlineLevel="1" x14ac:dyDescent="0.3">
      <c r="A72" s="30" t="s">
        <v>76</v>
      </c>
      <c r="B72" s="27">
        <v>4146957</v>
      </c>
      <c r="C72" s="32">
        <v>4767571</v>
      </c>
      <c r="D72" s="27">
        <v>3183318</v>
      </c>
      <c r="E72" s="27">
        <v>1902288</v>
      </c>
      <c r="F72" s="27">
        <v>4448189</v>
      </c>
      <c r="G72" s="27">
        <v>4801059</v>
      </c>
      <c r="H72" s="27">
        <v>3307418</v>
      </c>
      <c r="I72" s="27">
        <v>2752262</v>
      </c>
      <c r="J72" s="27">
        <v>3923855</v>
      </c>
      <c r="K72" s="27">
        <v>1858977</v>
      </c>
      <c r="L72" s="27">
        <v>8834610</v>
      </c>
      <c r="M72" s="27">
        <v>5436915</v>
      </c>
      <c r="N72" s="27">
        <v>2997417</v>
      </c>
      <c r="O72" s="27">
        <v>1108741</v>
      </c>
      <c r="P72" s="27">
        <v>1712321</v>
      </c>
      <c r="Q72" s="27">
        <v>55181897</v>
      </c>
    </row>
    <row r="73" spans="1:17" ht="11" customHeight="1" outlineLevel="1" x14ac:dyDescent="0.3">
      <c r="A73" s="30" t="s">
        <v>75</v>
      </c>
      <c r="B73" s="27">
        <v>523490</v>
      </c>
      <c r="C73" s="32">
        <v>438673</v>
      </c>
      <c r="D73" s="27">
        <v>421065</v>
      </c>
      <c r="E73" s="27">
        <v>461984</v>
      </c>
      <c r="F73" s="27">
        <v>563027</v>
      </c>
      <c r="G73" s="27">
        <v>452038</v>
      </c>
      <c r="H73" s="27">
        <v>466340</v>
      </c>
      <c r="I73" s="27">
        <v>500177</v>
      </c>
      <c r="J73" s="27">
        <v>499999</v>
      </c>
      <c r="K73" s="27">
        <v>542389</v>
      </c>
      <c r="L73" s="27">
        <v>534457</v>
      </c>
      <c r="M73" s="27">
        <v>501924</v>
      </c>
      <c r="N73" s="27">
        <v>463209</v>
      </c>
      <c r="O73" s="27">
        <v>455612</v>
      </c>
      <c r="P73" s="27">
        <v>550370</v>
      </c>
      <c r="Q73" s="27">
        <v>7374756</v>
      </c>
    </row>
    <row r="74" spans="1:17" ht="11" customHeight="1" outlineLevel="1" x14ac:dyDescent="0.3">
      <c r="A74" s="30" t="s">
        <v>74</v>
      </c>
      <c r="B74" s="27">
        <v>975355</v>
      </c>
      <c r="C74" s="32">
        <v>1951922</v>
      </c>
      <c r="D74" s="27">
        <v>110296</v>
      </c>
      <c r="E74" s="27">
        <v>797874</v>
      </c>
      <c r="F74" s="27">
        <v>2302587</v>
      </c>
      <c r="G74" s="27">
        <v>498282</v>
      </c>
      <c r="H74" s="27">
        <v>562210</v>
      </c>
      <c r="I74" s="27">
        <v>850776</v>
      </c>
      <c r="J74" s="27">
        <v>696608</v>
      </c>
      <c r="K74" s="27">
        <v>5184967</v>
      </c>
      <c r="L74" s="27">
        <v>4720855</v>
      </c>
      <c r="M74" s="27">
        <v>1645879</v>
      </c>
      <c r="N74" s="27">
        <v>1215539</v>
      </c>
      <c r="O74" s="27">
        <v>1213505</v>
      </c>
      <c r="P74" s="27">
        <v>662221</v>
      </c>
      <c r="Q74" s="27">
        <v>23388875</v>
      </c>
    </row>
    <row r="75" spans="1:17" ht="11" customHeight="1" outlineLevel="1" x14ac:dyDescent="0.3">
      <c r="A75" s="30" t="s">
        <v>73</v>
      </c>
      <c r="B75" s="28"/>
      <c r="C75" s="32">
        <v>914473</v>
      </c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7">
        <v>914473</v>
      </c>
    </row>
    <row r="76" spans="1:17" ht="11" customHeight="1" outlineLevel="1" x14ac:dyDescent="0.3">
      <c r="A76" s="30" t="s">
        <v>72</v>
      </c>
      <c r="B76" s="28"/>
      <c r="C76" s="32">
        <v>7474323</v>
      </c>
      <c r="D76" s="28"/>
      <c r="E76" s="28"/>
      <c r="F76" s="28"/>
      <c r="G76" s="27">
        <v>16532227</v>
      </c>
      <c r="H76" s="28"/>
      <c r="I76" s="28"/>
      <c r="J76" s="28"/>
      <c r="K76" s="28"/>
      <c r="L76" s="28"/>
      <c r="M76" s="27">
        <v>25043836</v>
      </c>
      <c r="N76" s="28"/>
      <c r="O76" s="28"/>
      <c r="P76" s="28"/>
      <c r="Q76" s="27">
        <v>49050385</v>
      </c>
    </row>
    <row r="77" spans="1:17" ht="11" customHeight="1" outlineLevel="1" x14ac:dyDescent="0.3">
      <c r="A77" s="30" t="s">
        <v>71</v>
      </c>
      <c r="B77" s="27">
        <v>1255047</v>
      </c>
      <c r="C77" s="32">
        <v>1408207</v>
      </c>
      <c r="D77" s="27">
        <v>1038511</v>
      </c>
      <c r="E77" s="27">
        <v>1468940</v>
      </c>
      <c r="F77" s="27">
        <v>1891821</v>
      </c>
      <c r="G77" s="27">
        <v>1636159</v>
      </c>
      <c r="H77" s="27">
        <v>2169534</v>
      </c>
      <c r="I77" s="27">
        <v>2316908</v>
      </c>
      <c r="J77" s="27">
        <v>2603839</v>
      </c>
      <c r="K77" s="27">
        <v>2569093</v>
      </c>
      <c r="L77" s="27">
        <v>2809659</v>
      </c>
      <c r="M77" s="27">
        <v>2948973</v>
      </c>
      <c r="N77" s="27">
        <v>1984635</v>
      </c>
      <c r="O77" s="27">
        <v>1835424</v>
      </c>
      <c r="P77" s="27">
        <v>2056773</v>
      </c>
      <c r="Q77" s="27">
        <v>29993523</v>
      </c>
    </row>
    <row r="78" spans="1:17" ht="11" customHeight="1" outlineLevel="1" x14ac:dyDescent="0.3">
      <c r="A78" s="30" t="s">
        <v>70</v>
      </c>
      <c r="B78" s="28"/>
      <c r="C78" s="32">
        <v>11250</v>
      </c>
      <c r="D78" s="28"/>
      <c r="E78" s="28"/>
      <c r="F78" s="28"/>
      <c r="G78" s="28"/>
      <c r="H78" s="28"/>
      <c r="I78" s="28"/>
      <c r="J78" s="28"/>
      <c r="K78" s="28"/>
      <c r="L78" s="28"/>
      <c r="M78" s="27">
        <v>21429</v>
      </c>
      <c r="N78" s="28"/>
      <c r="O78" s="28"/>
      <c r="P78" s="27">
        <v>31207</v>
      </c>
      <c r="Q78" s="27">
        <v>63885</v>
      </c>
    </row>
    <row r="79" spans="1:17" ht="11" customHeight="1" outlineLevel="1" x14ac:dyDescent="0.3">
      <c r="A79" s="30" t="s">
        <v>69</v>
      </c>
      <c r="B79" s="27">
        <v>967658</v>
      </c>
      <c r="C79" s="32">
        <v>1043448</v>
      </c>
      <c r="D79" s="27">
        <v>1073243</v>
      </c>
      <c r="E79" s="27">
        <v>1070238</v>
      </c>
      <c r="F79" s="27">
        <v>1198511</v>
      </c>
      <c r="G79" s="27">
        <v>1175228</v>
      </c>
      <c r="H79" s="27">
        <v>1237191</v>
      </c>
      <c r="I79" s="27">
        <v>1231492</v>
      </c>
      <c r="J79" s="27">
        <v>1262214</v>
      </c>
      <c r="K79" s="27">
        <v>1239353</v>
      </c>
      <c r="L79" s="27">
        <v>1234353</v>
      </c>
      <c r="M79" s="27">
        <v>1200285</v>
      </c>
      <c r="N79" s="27">
        <v>1320244</v>
      </c>
      <c r="O79" s="27">
        <v>1157331</v>
      </c>
      <c r="P79" s="27">
        <v>1138432</v>
      </c>
      <c r="Q79" s="27">
        <v>17549221</v>
      </c>
    </row>
    <row r="80" spans="1:17" ht="11" customHeight="1" outlineLevel="1" x14ac:dyDescent="0.3">
      <c r="A80" s="30" t="s">
        <v>68</v>
      </c>
      <c r="B80" s="27">
        <v>1281149</v>
      </c>
      <c r="C80" s="32">
        <v>1401207</v>
      </c>
      <c r="D80" s="27">
        <v>1441500</v>
      </c>
      <c r="E80" s="27">
        <v>1383995</v>
      </c>
      <c r="F80" s="27">
        <v>1713478</v>
      </c>
      <c r="G80" s="27">
        <v>1890659</v>
      </c>
      <c r="H80" s="27">
        <v>1735234</v>
      </c>
      <c r="I80" s="27">
        <v>1959781</v>
      </c>
      <c r="J80" s="27">
        <v>1987902</v>
      </c>
      <c r="K80" s="27">
        <v>2144978</v>
      </c>
      <c r="L80" s="27">
        <v>2510565</v>
      </c>
      <c r="M80" s="27">
        <v>2707138</v>
      </c>
      <c r="N80" s="27">
        <v>2244960</v>
      </c>
      <c r="O80" s="27">
        <v>1535114</v>
      </c>
      <c r="P80" s="27">
        <v>1437199</v>
      </c>
      <c r="Q80" s="27">
        <v>27374859</v>
      </c>
    </row>
    <row r="81" spans="1:17" ht="11" customHeight="1" outlineLevel="1" x14ac:dyDescent="0.3">
      <c r="A81" s="30" t="s">
        <v>67</v>
      </c>
      <c r="B81" s="28"/>
      <c r="C81" s="32">
        <v>2109103</v>
      </c>
      <c r="D81" s="28"/>
      <c r="E81" s="27">
        <v>1331849</v>
      </c>
      <c r="F81" s="27">
        <v>6369321</v>
      </c>
      <c r="G81" s="27">
        <v>1563964</v>
      </c>
      <c r="H81" s="27">
        <v>4502932</v>
      </c>
      <c r="I81" s="27">
        <v>4083805</v>
      </c>
      <c r="J81" s="27">
        <v>5641555</v>
      </c>
      <c r="K81" s="27">
        <v>1129343</v>
      </c>
      <c r="L81" s="27">
        <v>8770317</v>
      </c>
      <c r="M81" s="27">
        <v>21226233</v>
      </c>
      <c r="N81" s="27">
        <v>6505933</v>
      </c>
      <c r="O81" s="27">
        <v>2624177</v>
      </c>
      <c r="P81" s="27">
        <v>355673</v>
      </c>
      <c r="Q81" s="27">
        <v>66214205</v>
      </c>
    </row>
    <row r="82" spans="1:17" ht="11" customHeight="1" outlineLevel="1" x14ac:dyDescent="0.3">
      <c r="A82" s="30" t="s">
        <v>66</v>
      </c>
      <c r="B82" s="28"/>
      <c r="C82" s="29"/>
      <c r="D82" s="28"/>
      <c r="E82" s="28"/>
      <c r="F82" s="28"/>
      <c r="G82" s="28"/>
      <c r="H82" s="28"/>
      <c r="I82" s="28"/>
      <c r="J82" s="27">
        <v>11080000</v>
      </c>
      <c r="K82" s="27">
        <v>15640000</v>
      </c>
      <c r="L82" s="28"/>
      <c r="M82" s="28"/>
      <c r="N82" s="28"/>
      <c r="O82" s="28"/>
      <c r="P82" s="28"/>
      <c r="Q82" s="27">
        <v>26720000</v>
      </c>
    </row>
    <row r="83" spans="1:17" ht="11" customHeight="1" outlineLevel="1" x14ac:dyDescent="0.3">
      <c r="A83" s="30" t="s">
        <v>65</v>
      </c>
      <c r="B83" s="28"/>
      <c r="C83" s="29"/>
      <c r="D83" s="28"/>
      <c r="E83" s="28"/>
      <c r="F83" s="28"/>
      <c r="G83" s="28"/>
      <c r="H83" s="28"/>
      <c r="I83" s="28"/>
      <c r="J83" s="28"/>
      <c r="K83" s="27">
        <v>77788</v>
      </c>
      <c r="L83" s="28"/>
      <c r="M83" s="28"/>
      <c r="N83" s="28"/>
      <c r="O83" s="28"/>
      <c r="P83" s="28"/>
      <c r="Q83" s="27">
        <v>77788</v>
      </c>
    </row>
    <row r="84" spans="1:17" ht="11" customHeight="1" outlineLevel="1" x14ac:dyDescent="0.3">
      <c r="A84" s="30" t="s">
        <v>64</v>
      </c>
      <c r="B84" s="27">
        <v>102600</v>
      </c>
      <c r="C84" s="29"/>
      <c r="D84" s="28"/>
      <c r="E84" s="28"/>
      <c r="F84" s="27">
        <v>499900</v>
      </c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7">
        <v>602500</v>
      </c>
    </row>
    <row r="85" spans="1:17" ht="11" customHeight="1" outlineLevel="1" x14ac:dyDescent="0.3">
      <c r="A85" s="30" t="s">
        <v>63</v>
      </c>
      <c r="B85" s="28"/>
      <c r="C85" s="29"/>
      <c r="D85" s="28"/>
      <c r="E85" s="28"/>
      <c r="F85" s="28"/>
      <c r="G85" s="28"/>
      <c r="H85" s="28"/>
      <c r="I85" s="28"/>
      <c r="J85" s="28"/>
      <c r="K85" s="27">
        <v>4360835</v>
      </c>
      <c r="L85" s="28"/>
      <c r="M85" s="28"/>
      <c r="N85" s="28"/>
      <c r="O85" s="28"/>
      <c r="P85" s="27">
        <v>2226736</v>
      </c>
      <c r="Q85" s="27">
        <v>6587571</v>
      </c>
    </row>
    <row r="86" spans="1:17" ht="11" customHeight="1" outlineLevel="1" x14ac:dyDescent="0.3">
      <c r="A86" s="30" t="s">
        <v>62</v>
      </c>
      <c r="B86" s="27">
        <v>469749</v>
      </c>
      <c r="C86" s="32">
        <v>454364</v>
      </c>
      <c r="D86" s="27">
        <v>474751</v>
      </c>
      <c r="E86" s="27">
        <v>494119</v>
      </c>
      <c r="F86" s="27">
        <v>448163</v>
      </c>
      <c r="G86" s="27">
        <v>267176</v>
      </c>
      <c r="H86" s="27">
        <v>282175</v>
      </c>
      <c r="I86" s="27">
        <v>290808</v>
      </c>
      <c r="J86" s="27">
        <v>336795</v>
      </c>
      <c r="K86" s="27">
        <v>308140</v>
      </c>
      <c r="L86" s="27">
        <v>290811</v>
      </c>
      <c r="M86" s="27">
        <v>322006</v>
      </c>
      <c r="N86" s="27">
        <v>281768</v>
      </c>
      <c r="O86" s="27">
        <v>275902</v>
      </c>
      <c r="P86" s="27">
        <v>251821</v>
      </c>
      <c r="Q86" s="27">
        <v>5248548</v>
      </c>
    </row>
    <row r="87" spans="1:17" ht="11" customHeight="1" outlineLevel="1" x14ac:dyDescent="0.3">
      <c r="A87" s="30" t="s">
        <v>61</v>
      </c>
      <c r="B87" s="27">
        <v>54456</v>
      </c>
      <c r="C87" s="32">
        <v>54456</v>
      </c>
      <c r="D87" s="27">
        <v>54456</v>
      </c>
      <c r="E87" s="27">
        <v>54456</v>
      </c>
      <c r="F87" s="27">
        <v>56791</v>
      </c>
      <c r="G87" s="27">
        <v>72581</v>
      </c>
      <c r="H87" s="27">
        <v>72581</v>
      </c>
      <c r="I87" s="27">
        <v>72581</v>
      </c>
      <c r="J87" s="27">
        <v>72581</v>
      </c>
      <c r="K87" s="27">
        <v>72581</v>
      </c>
      <c r="L87" s="27">
        <v>72581</v>
      </c>
      <c r="M87" s="27">
        <v>72581</v>
      </c>
      <c r="N87" s="27">
        <v>72581</v>
      </c>
      <c r="O87" s="27">
        <v>72581</v>
      </c>
      <c r="P87" s="27">
        <v>72581</v>
      </c>
      <c r="Q87" s="27">
        <v>1000423</v>
      </c>
    </row>
    <row r="88" spans="1:17" ht="11" customHeight="1" outlineLevel="1" x14ac:dyDescent="0.3">
      <c r="A88" s="30" t="s">
        <v>60</v>
      </c>
      <c r="B88" s="28"/>
      <c r="C88" s="29"/>
      <c r="D88" s="27">
        <v>82572</v>
      </c>
      <c r="E88" s="27">
        <v>157280</v>
      </c>
      <c r="F88" s="27">
        <v>141552</v>
      </c>
      <c r="G88" s="27">
        <v>141552</v>
      </c>
      <c r="H88" s="28"/>
      <c r="I88" s="27">
        <v>47184</v>
      </c>
      <c r="J88" s="27">
        <v>141552</v>
      </c>
      <c r="K88" s="27">
        <v>188736</v>
      </c>
      <c r="L88" s="28"/>
      <c r="M88" s="27">
        <v>110096</v>
      </c>
      <c r="N88" s="28"/>
      <c r="O88" s="28"/>
      <c r="P88" s="27">
        <v>38925</v>
      </c>
      <c r="Q88" s="27">
        <v>1049449</v>
      </c>
    </row>
    <row r="89" spans="1:17" ht="11" customHeight="1" outlineLevel="1" x14ac:dyDescent="0.3">
      <c r="A89" s="30" t="s">
        <v>59</v>
      </c>
      <c r="B89" s="28"/>
      <c r="C89" s="29"/>
      <c r="D89" s="28"/>
      <c r="E89" s="28"/>
      <c r="F89" s="28"/>
      <c r="G89" s="28"/>
      <c r="H89" s="28"/>
      <c r="I89" s="27">
        <v>17000</v>
      </c>
      <c r="J89" s="27">
        <v>12000</v>
      </c>
      <c r="K89" s="27">
        <v>45000</v>
      </c>
      <c r="L89" s="27">
        <v>50000</v>
      </c>
      <c r="M89" s="27">
        <v>745500</v>
      </c>
      <c r="N89" s="28"/>
      <c r="O89" s="28"/>
      <c r="P89" s="28"/>
      <c r="Q89" s="27">
        <v>869500</v>
      </c>
    </row>
    <row r="90" spans="1:17" ht="11" customHeight="1" outlineLevel="1" x14ac:dyDescent="0.3">
      <c r="A90" s="30" t="s">
        <v>58</v>
      </c>
      <c r="B90" s="27">
        <v>644000</v>
      </c>
      <c r="C90" s="32">
        <v>1008000</v>
      </c>
      <c r="D90" s="27">
        <v>1191571</v>
      </c>
      <c r="E90" s="27">
        <v>856000</v>
      </c>
      <c r="F90" s="27">
        <v>1176000</v>
      </c>
      <c r="G90" s="27">
        <v>856000</v>
      </c>
      <c r="H90" s="27">
        <v>4262214</v>
      </c>
      <c r="I90" s="27">
        <v>1220000</v>
      </c>
      <c r="J90" s="27">
        <v>1228000</v>
      </c>
      <c r="K90" s="27">
        <v>1208714</v>
      </c>
      <c r="L90" s="27">
        <v>1608000</v>
      </c>
      <c r="M90" s="27">
        <v>1882661</v>
      </c>
      <c r="N90" s="27">
        <v>1155655</v>
      </c>
      <c r="O90" s="27">
        <v>1046000</v>
      </c>
      <c r="P90" s="27">
        <v>995500</v>
      </c>
      <c r="Q90" s="27">
        <v>20338316</v>
      </c>
    </row>
    <row r="91" spans="1:17" ht="11" customHeight="1" outlineLevel="1" x14ac:dyDescent="0.3">
      <c r="A91" s="30" t="s">
        <v>57</v>
      </c>
      <c r="B91" s="27">
        <v>69571</v>
      </c>
      <c r="C91" s="32">
        <v>69571</v>
      </c>
      <c r="D91" s="27">
        <v>69571</v>
      </c>
      <c r="E91" s="27">
        <v>248143</v>
      </c>
      <c r="F91" s="27">
        <v>141000</v>
      </c>
      <c r="G91" s="27">
        <v>141000</v>
      </c>
      <c r="H91" s="27">
        <v>141000</v>
      </c>
      <c r="I91" s="27">
        <v>141000</v>
      </c>
      <c r="J91" s="27">
        <v>176714</v>
      </c>
      <c r="K91" s="27">
        <v>176714</v>
      </c>
      <c r="L91" s="27">
        <v>176714</v>
      </c>
      <c r="M91" s="27">
        <v>176714</v>
      </c>
      <c r="N91" s="27">
        <v>1607627</v>
      </c>
      <c r="O91" s="27">
        <v>267269</v>
      </c>
      <c r="P91" s="27">
        <v>358131</v>
      </c>
      <c r="Q91" s="27">
        <v>3960741</v>
      </c>
    </row>
    <row r="92" spans="1:17" ht="11" customHeight="1" outlineLevel="1" x14ac:dyDescent="0.3">
      <c r="A92" s="30" t="s">
        <v>56</v>
      </c>
      <c r="B92" s="27">
        <v>160569</v>
      </c>
      <c r="C92" s="32">
        <v>144182</v>
      </c>
      <c r="D92" s="27">
        <v>323555</v>
      </c>
      <c r="E92" s="27">
        <v>198897</v>
      </c>
      <c r="F92" s="27">
        <v>454352</v>
      </c>
      <c r="G92" s="27">
        <v>153859</v>
      </c>
      <c r="H92" s="27">
        <v>178177</v>
      </c>
      <c r="I92" s="27">
        <v>305497</v>
      </c>
      <c r="J92" s="27">
        <v>270594</v>
      </c>
      <c r="K92" s="27">
        <v>120581</v>
      </c>
      <c r="L92" s="27">
        <v>494602</v>
      </c>
      <c r="M92" s="27">
        <v>384663</v>
      </c>
      <c r="N92" s="27">
        <v>206753</v>
      </c>
      <c r="O92" s="27">
        <v>212118</v>
      </c>
      <c r="P92" s="27">
        <v>180099</v>
      </c>
      <c r="Q92" s="27">
        <v>3788498</v>
      </c>
    </row>
    <row r="93" spans="1:17" ht="11" customHeight="1" outlineLevel="1" x14ac:dyDescent="0.3">
      <c r="A93" s="30" t="s">
        <v>55</v>
      </c>
      <c r="B93" s="27">
        <v>50500</v>
      </c>
      <c r="C93" s="29"/>
      <c r="D93" s="27">
        <v>45500</v>
      </c>
      <c r="E93" s="28"/>
      <c r="F93" s="27">
        <v>31500</v>
      </c>
      <c r="G93" s="27">
        <v>33000</v>
      </c>
      <c r="H93" s="27">
        <v>7500</v>
      </c>
      <c r="I93" s="28"/>
      <c r="J93" s="27">
        <v>11000</v>
      </c>
      <c r="K93" s="27">
        <v>7700</v>
      </c>
      <c r="L93" s="27">
        <v>10000</v>
      </c>
      <c r="M93" s="27">
        <v>11000</v>
      </c>
      <c r="N93" s="27">
        <v>18000</v>
      </c>
      <c r="O93" s="28"/>
      <c r="P93" s="28"/>
      <c r="Q93" s="27">
        <v>225700</v>
      </c>
    </row>
    <row r="94" spans="1:17" ht="11" customHeight="1" outlineLevel="1" x14ac:dyDescent="0.3">
      <c r="A94" s="30" t="s">
        <v>54</v>
      </c>
      <c r="B94" s="28"/>
      <c r="C94" s="29"/>
      <c r="D94" s="28"/>
      <c r="E94" s="28"/>
      <c r="F94" s="28"/>
      <c r="G94" s="27">
        <v>175000</v>
      </c>
      <c r="H94" s="27">
        <v>184000</v>
      </c>
      <c r="I94" s="27">
        <v>200000</v>
      </c>
      <c r="J94" s="27">
        <v>314000</v>
      </c>
      <c r="K94" s="27">
        <v>198500</v>
      </c>
      <c r="L94" s="27">
        <v>197500</v>
      </c>
      <c r="M94" s="27">
        <v>271500</v>
      </c>
      <c r="N94" s="27">
        <v>135500</v>
      </c>
      <c r="O94" s="28"/>
      <c r="P94" s="28"/>
      <c r="Q94" s="27">
        <v>1676000</v>
      </c>
    </row>
    <row r="95" spans="1:17" ht="11" customHeight="1" outlineLevel="1" x14ac:dyDescent="0.3">
      <c r="A95" s="30" t="s">
        <v>53</v>
      </c>
      <c r="B95" s="28"/>
      <c r="C95" s="29"/>
      <c r="D95" s="28"/>
      <c r="E95" s="28"/>
      <c r="F95" s="28"/>
      <c r="G95" s="28"/>
      <c r="H95" s="28"/>
      <c r="I95" s="28"/>
      <c r="J95" s="28"/>
      <c r="K95" s="31">
        <v>393</v>
      </c>
      <c r="L95" s="27">
        <v>4795</v>
      </c>
      <c r="M95" s="28"/>
      <c r="N95" s="28"/>
      <c r="O95" s="28"/>
      <c r="P95" s="28"/>
      <c r="Q95" s="27">
        <v>5188</v>
      </c>
    </row>
    <row r="96" spans="1:17" ht="11" customHeight="1" outlineLevel="1" x14ac:dyDescent="0.3">
      <c r="A96" s="30" t="s">
        <v>52</v>
      </c>
      <c r="B96" s="27">
        <v>103728</v>
      </c>
      <c r="C96" s="32">
        <v>117232</v>
      </c>
      <c r="D96" s="27">
        <v>87464</v>
      </c>
      <c r="E96" s="27">
        <v>108034</v>
      </c>
      <c r="F96" s="27">
        <v>92527</v>
      </c>
      <c r="G96" s="27">
        <v>85929</v>
      </c>
      <c r="H96" s="27">
        <v>76757</v>
      </c>
      <c r="I96" s="27">
        <v>113446</v>
      </c>
      <c r="J96" s="27">
        <v>87987</v>
      </c>
      <c r="K96" s="27">
        <v>95513</v>
      </c>
      <c r="L96" s="27">
        <v>126254</v>
      </c>
      <c r="M96" s="27">
        <v>108196</v>
      </c>
      <c r="N96" s="27">
        <v>115254</v>
      </c>
      <c r="O96" s="27">
        <v>128153</v>
      </c>
      <c r="P96" s="27">
        <v>58259</v>
      </c>
      <c r="Q96" s="27">
        <v>1504733</v>
      </c>
    </row>
    <row r="97" spans="1:17" ht="11" customHeight="1" outlineLevel="1" x14ac:dyDescent="0.3">
      <c r="A97" s="30" t="s">
        <v>51</v>
      </c>
      <c r="B97" s="27">
        <v>410536</v>
      </c>
      <c r="C97" s="32">
        <v>2448393</v>
      </c>
      <c r="D97" s="27">
        <v>1683393</v>
      </c>
      <c r="E97" s="27">
        <v>2414964</v>
      </c>
      <c r="F97" s="27">
        <v>2640357</v>
      </c>
      <c r="G97" s="27">
        <v>868750</v>
      </c>
      <c r="H97" s="27">
        <v>2023214</v>
      </c>
      <c r="I97" s="27">
        <v>1423214</v>
      </c>
      <c r="J97" s="27">
        <v>1423393</v>
      </c>
      <c r="K97" s="27">
        <v>2040000</v>
      </c>
      <c r="L97" s="27">
        <v>4657679</v>
      </c>
      <c r="M97" s="27">
        <v>5120000</v>
      </c>
      <c r="N97" s="27">
        <v>1874655</v>
      </c>
      <c r="O97" s="27">
        <v>1573276</v>
      </c>
      <c r="P97" s="27">
        <v>1869828</v>
      </c>
      <c r="Q97" s="27">
        <v>32471651</v>
      </c>
    </row>
    <row r="98" spans="1:17" ht="11" customHeight="1" outlineLevel="1" x14ac:dyDescent="0.3">
      <c r="A98" s="30" t="s">
        <v>50</v>
      </c>
      <c r="B98" s="28"/>
      <c r="C98" s="29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7">
        <v>340000</v>
      </c>
      <c r="P98" s="28"/>
      <c r="Q98" s="27">
        <v>340000</v>
      </c>
    </row>
    <row r="99" spans="1:17" ht="11" customHeight="1" outlineLevel="1" x14ac:dyDescent="0.3">
      <c r="A99" s="30" t="s">
        <v>49</v>
      </c>
      <c r="B99" s="27">
        <v>31473</v>
      </c>
      <c r="C99" s="32">
        <v>27277</v>
      </c>
      <c r="D99" s="27">
        <v>41964</v>
      </c>
      <c r="E99" s="27">
        <v>50357</v>
      </c>
      <c r="F99" s="27">
        <v>27277</v>
      </c>
      <c r="G99" s="28"/>
      <c r="H99" s="27">
        <v>100714</v>
      </c>
      <c r="I99" s="27">
        <v>62946</v>
      </c>
      <c r="J99" s="27">
        <v>62946</v>
      </c>
      <c r="K99" s="27">
        <v>52455</v>
      </c>
      <c r="L99" s="27">
        <v>41964</v>
      </c>
      <c r="M99" s="27">
        <v>41964</v>
      </c>
      <c r="N99" s="27">
        <v>40517</v>
      </c>
      <c r="O99" s="28"/>
      <c r="P99" s="27">
        <v>62500</v>
      </c>
      <c r="Q99" s="27">
        <v>644357</v>
      </c>
    </row>
    <row r="100" spans="1:17" ht="11" customHeight="1" outlineLevel="1" x14ac:dyDescent="0.3">
      <c r="A100" s="30" t="s">
        <v>48</v>
      </c>
      <c r="B100" s="27">
        <v>112020</v>
      </c>
      <c r="C100" s="32">
        <v>138802</v>
      </c>
      <c r="D100" s="27">
        <v>151673</v>
      </c>
      <c r="E100" s="27">
        <v>155838</v>
      </c>
      <c r="F100" s="27">
        <v>168602</v>
      </c>
      <c r="G100" s="27">
        <v>169823</v>
      </c>
      <c r="H100" s="27">
        <v>151555</v>
      </c>
      <c r="I100" s="27">
        <v>257113</v>
      </c>
      <c r="J100" s="27">
        <v>59654</v>
      </c>
      <c r="K100" s="27">
        <v>465225</v>
      </c>
      <c r="L100" s="27">
        <v>341665</v>
      </c>
      <c r="M100" s="27">
        <v>688343</v>
      </c>
      <c r="N100" s="27">
        <v>257037</v>
      </c>
      <c r="O100" s="27">
        <v>221230</v>
      </c>
      <c r="P100" s="27">
        <v>281755</v>
      </c>
      <c r="Q100" s="27">
        <v>3620335</v>
      </c>
    </row>
    <row r="101" spans="1:17" ht="11" customHeight="1" outlineLevel="1" x14ac:dyDescent="0.3">
      <c r="A101" s="30" t="s">
        <v>47</v>
      </c>
      <c r="B101" s="31">
        <v>661</v>
      </c>
      <c r="C101" s="29"/>
      <c r="D101" s="27">
        <v>1075</v>
      </c>
      <c r="E101" s="28"/>
      <c r="F101" s="28"/>
      <c r="G101" s="28"/>
      <c r="H101" s="28"/>
      <c r="I101" s="28"/>
      <c r="J101" s="28"/>
      <c r="K101" s="28"/>
      <c r="L101" s="27">
        <v>300000</v>
      </c>
      <c r="M101" s="28"/>
      <c r="N101" s="28"/>
      <c r="O101" s="28"/>
      <c r="P101" s="28"/>
      <c r="Q101" s="27">
        <v>301736</v>
      </c>
    </row>
    <row r="102" spans="1:17" ht="11" customHeight="1" outlineLevel="1" x14ac:dyDescent="0.3">
      <c r="A102" s="30" t="s">
        <v>46</v>
      </c>
      <c r="B102" s="28"/>
      <c r="C102" s="29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7">
        <v>500000</v>
      </c>
      <c r="O102" s="27">
        <v>300000</v>
      </c>
      <c r="P102" s="27">
        <v>100000</v>
      </c>
      <c r="Q102" s="27">
        <v>900000</v>
      </c>
    </row>
    <row r="103" spans="1:17" ht="13.05" customHeight="1" x14ac:dyDescent="0.3">
      <c r="A103" s="26" t="s">
        <v>45</v>
      </c>
      <c r="B103" s="24">
        <v>-7764505</v>
      </c>
      <c r="C103" s="25">
        <v>-10630213</v>
      </c>
      <c r="D103" s="24">
        <v>-7666688</v>
      </c>
      <c r="E103" s="23">
        <v>2693953</v>
      </c>
      <c r="F103" s="24">
        <v>-2438731</v>
      </c>
      <c r="G103" s="24">
        <v>-21187841</v>
      </c>
      <c r="H103" s="23">
        <v>4985234</v>
      </c>
      <c r="I103" s="24">
        <v>-7018796</v>
      </c>
      <c r="J103" s="23">
        <v>6546181</v>
      </c>
      <c r="K103" s="23">
        <v>22079890</v>
      </c>
      <c r="L103" s="23">
        <v>22026020</v>
      </c>
      <c r="M103" s="23">
        <v>18025235</v>
      </c>
      <c r="N103" s="24">
        <v>-22005649</v>
      </c>
      <c r="O103" s="24">
        <v>-5247297</v>
      </c>
      <c r="P103" s="23">
        <v>12927832</v>
      </c>
      <c r="Q103" s="23">
        <v>5324626</v>
      </c>
    </row>
    <row r="105" spans="1:17" ht="11.45" customHeight="1" x14ac:dyDescent="0.3">
      <c r="A105" s="22" t="str" cm="1">
        <f t="array" ref="A105:A115">_xlfn.UNIQUE($A$4:$A$33,FALSE,FALSE)</f>
        <v>Запчасть</v>
      </c>
    </row>
    <row r="106" spans="1:17" ht="11.45" customHeight="1" x14ac:dyDescent="0.3">
      <c r="A106" s="22" t="str">
        <v>Доп</v>
      </c>
    </row>
    <row r="107" spans="1:17" ht="11.45" customHeight="1" x14ac:dyDescent="0.3">
      <c r="A107" s="22" t="str">
        <v>Сервис</v>
      </c>
    </row>
    <row r="108" spans="1:17" ht="11.45" customHeight="1" x14ac:dyDescent="0.3">
      <c r="A108" s="22" t="str">
        <v>Trade-in</v>
      </c>
    </row>
    <row r="109" spans="1:17" ht="11.45" customHeight="1" x14ac:dyDescent="0.3">
      <c r="A109" s="22" t="str">
        <v>ВЭК</v>
      </c>
    </row>
    <row r="110" spans="1:17" ht="11.45" customHeight="1" x14ac:dyDescent="0.3">
      <c r="A110" s="22" t="str">
        <v>Прочее</v>
      </c>
    </row>
    <row r="111" spans="1:17" ht="11.45" customHeight="1" x14ac:dyDescent="0.3">
      <c r="A111" s="22" t="str">
        <v>Гарантия</v>
      </c>
    </row>
    <row r="112" spans="1:17" ht="11.45" customHeight="1" x14ac:dyDescent="0.3">
      <c r="A112" s="22" t="str">
        <v>Ав от банк</v>
      </c>
    </row>
    <row r="113" spans="1:1" ht="11.45" customHeight="1" x14ac:dyDescent="0.3">
      <c r="A113" s="22" t="str">
        <v>Каско</v>
      </c>
    </row>
    <row r="114" spans="1:1" ht="11.45" customHeight="1" x14ac:dyDescent="0.3">
      <c r="A114" s="22" t="str">
        <v>Маржа</v>
      </c>
    </row>
    <row r="115" spans="1:1" ht="11.45" customHeight="1" x14ac:dyDescent="0.3">
      <c r="A115" s="22" t="str">
        <v>Ос</v>
      </c>
    </row>
  </sheetData>
  <pageMargins left="0.19685039370078741" right="0.19685039370078741" top="0.39370078740157483" bottom="0.39370078740157483" header="0" footer="0"/>
  <pageSetup paperSize="9" fitToHeight="0" pageOrder="overThenDown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40" customWidth="1"/>
  </cols>
  <sheetData>
    <row r="1" spans="1:2" ht="15.75" x14ac:dyDescent="0.45">
      <c r="A1" s="10" t="s">
        <v>31</v>
      </c>
      <c r="B1" s="1"/>
    </row>
    <row r="2" spans="1:2" x14ac:dyDescent="0.45">
      <c r="A2" s="4" t="s">
        <v>32</v>
      </c>
      <c r="B2" s="19" t="s">
        <v>33</v>
      </c>
    </row>
    <row r="3" spans="1:2" x14ac:dyDescent="0.45">
      <c r="A3" s="6" t="s">
        <v>34</v>
      </c>
      <c r="B3" s="11" t="s">
        <v>35</v>
      </c>
    </row>
    <row r="4" spans="1:2" x14ac:dyDescent="0.45">
      <c r="A4" s="4" t="s">
        <v>36</v>
      </c>
      <c r="B4" s="19" t="s">
        <v>37</v>
      </c>
    </row>
    <row r="5" spans="1:2" x14ac:dyDescent="0.45">
      <c r="A5" s="6" t="s">
        <v>38</v>
      </c>
      <c r="B5" s="11" t="s">
        <v>6</v>
      </c>
    </row>
    <row r="6" spans="1:2" x14ac:dyDescent="0.45">
      <c r="A6" s="4" t="s">
        <v>39</v>
      </c>
      <c r="B6" s="19" t="s">
        <v>40</v>
      </c>
    </row>
    <row r="7" spans="1:2" ht="26.25" x14ac:dyDescent="0.45">
      <c r="A7" s="6" t="s">
        <v>41</v>
      </c>
      <c r="B7" s="11" t="s">
        <v>42</v>
      </c>
    </row>
    <row r="8" spans="1:2" x14ac:dyDescent="0.45">
      <c r="A8" s="1"/>
      <c r="B8" s="1"/>
    </row>
    <row r="9" spans="1:2" ht="15.75" x14ac:dyDescent="0.45">
      <c r="A9" s="10" t="s">
        <v>43</v>
      </c>
      <c r="B9" s="1"/>
    </row>
    <row r="10" spans="1:2" ht="52.5" x14ac:dyDescent="0.45">
      <c r="A10" s="20" t="s">
        <v>44</v>
      </c>
      <c r="B1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Вывод по Ф300</vt:lpstr>
      <vt:lpstr>Поквартально</vt:lpstr>
      <vt:lpstr>Лист_1</vt:lpstr>
      <vt:lpstr>Источник строк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Diarbek Muldabaev</cp:lastModifiedBy>
  <dcterms:created xsi:type="dcterms:W3CDTF">2026-05-11T06:17:03Z</dcterms:created>
  <dcterms:modified xsi:type="dcterms:W3CDTF">2026-05-11T06:40:10Z</dcterms:modified>
</cp:coreProperties>
</file>